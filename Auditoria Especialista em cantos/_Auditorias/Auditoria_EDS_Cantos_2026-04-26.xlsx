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Geral" sheetId="1" state="visible" r:id="rId3"/>
    <sheet name="Por Liga" sheetId="2" state="visible" r:id="rId4"/>
    <sheet name="Cisne Negro" sheetId="3" state="visible" r:id="rId5"/>
    <sheet name="Teacher" sheetId="4" state="visible" r:id="rId6"/>
    <sheet name="Enigma" sheetId="5" state="visible" r:id="rId7"/>
    <sheet name="Tabela Mestra" sheetId="6" state="visible" r:id="rId8"/>
    <sheet name="Ranking Times" sheetId="7" state="visible" r:id="rId9"/>
    <sheet name="Teacher vs Enigm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<sst xmlns="http://schemas.openxmlformats.org/spreadsheetml/2006/main" count="3721" uniqueCount="566">
  <si>
    <t xml:space="preserve">AUDITORIA EDS — ESPECIALISTA EM CANTOS</t>
  </si>
  <si>
    <t xml:space="preserve">Rodada de 25-27 de abril de 2026 · 95 jogos · 9 ligas</t>
  </si>
  <si>
    <t xml:space="preserve">ACURÁCIA GLOBAL POR MERCADO</t>
  </si>
  <si>
    <t xml:space="preserve">Motor</t>
  </si>
  <si>
    <t xml:space="preserve">Mercado</t>
  </si>
  <si>
    <t xml:space="preserve">Acertos</t>
  </si>
  <si>
    <t xml:space="preserve">Total</t>
  </si>
  <si>
    <t xml:space="preserve">Acurácia</t>
  </si>
  <si>
    <t xml:space="preserve">Cisne Negro</t>
  </si>
  <si>
    <t xml:space="preserve">Favorito vence em cantos (qq margem)</t>
  </si>
  <si>
    <t xml:space="preserve">Favorito bate margem cheia projetada</t>
  </si>
  <si>
    <t xml:space="preserve">Teacher</t>
  </si>
  <si>
    <t xml:space="preserve">Sniper HT (UNDER/OVER)</t>
  </si>
  <si>
    <t xml:space="preserve">Sniper FT (UNDER/OVER)</t>
  </si>
  <si>
    <t xml:space="preserve">Vencedor do jogo (reis)</t>
  </si>
  <si>
    <t xml:space="preserve">Enigma</t>
  </si>
  <si>
    <t xml:space="preserve">Handicap FT (mandante)</t>
  </si>
  <si>
    <t xml:space="preserve">OVER linha HT</t>
  </si>
  <si>
    <t xml:space="preserve">LEGENDA</t>
  </si>
  <si>
    <t xml:space="preserve">Verde</t>
  </si>
  <si>
    <t xml:space="preserve">≥ 60% — performance forte</t>
  </si>
  <si>
    <t xml:space="preserve">Amarelo</t>
  </si>
  <si>
    <t xml:space="preserve">45–60% — performance mediana</t>
  </si>
  <si>
    <t xml:space="preserve">Vermelho</t>
  </si>
  <si>
    <t xml:space="preserve">&lt; 45% — performance fraca (próximo de moeda)</t>
  </si>
  <si>
    <t xml:space="preserve">PERFORMANCE POR LIGA × MERCADO</t>
  </si>
  <si>
    <t xml:space="preserve">Liga</t>
  </si>
  <si>
    <t xml:space="preserve">Cisne — vence cantos</t>
  </si>
  <si>
    <t xml:space="preserve">Cisne — margem cheia</t>
  </si>
  <si>
    <t xml:space="preserve">Teacher Sniper HT</t>
  </si>
  <si>
    <t xml:space="preserve">Teacher Sniper FT</t>
  </si>
  <si>
    <t xml:space="preserve">Teacher Vencedor</t>
  </si>
  <si>
    <t xml:space="preserve">Enigma Handicap FT</t>
  </si>
  <si>
    <t xml:space="preserve">Enigma OVER HT</t>
  </si>
  <si>
    <t xml:space="preserve">A-League (AUS)</t>
  </si>
  <si>
    <t xml:space="preserve">(n=4)</t>
  </si>
  <si>
    <t xml:space="preserve">(n=6)</t>
  </si>
  <si>
    <t xml:space="preserve">(n=5)</t>
  </si>
  <si>
    <t xml:space="preserve">(n=1)</t>
  </si>
  <si>
    <t xml:space="preserve">Liga Profesional (ARG)</t>
  </si>
  <si>
    <t xml:space="preserve">(n=8)</t>
  </si>
  <si>
    <t xml:space="preserve">(n=12)</t>
  </si>
  <si>
    <t xml:space="preserve">(n=10)</t>
  </si>
  <si>
    <t xml:space="preserve">(n=14)</t>
  </si>
  <si>
    <t xml:space="preserve">Primera Nacional (ARG)</t>
  </si>
  <si>
    <t xml:space="preserve">(n=18)</t>
  </si>
  <si>
    <t xml:space="preserve">Brasileirão Série A</t>
  </si>
  <si>
    <t xml:space="preserve">(n=9)</t>
  </si>
  <si>
    <t xml:space="preserve">(n=3)</t>
  </si>
  <si>
    <t xml:space="preserve">Bundesliga</t>
  </si>
  <si>
    <t xml:space="preserve">(n=7)</t>
  </si>
  <si>
    <t xml:space="preserve">Primera Div. (CHI)</t>
  </si>
  <si>
    <t xml:space="preserve">--</t>
  </si>
  <si>
    <t xml:space="preserve">(n=2)</t>
  </si>
  <si>
    <t xml:space="preserve">LigaPro (ECU)</t>
  </si>
  <si>
    <t xml:space="preserve">J1 League</t>
  </si>
  <si>
    <t xml:space="preserve">Major League Soccer</t>
  </si>
  <si>
    <t xml:space="preserve">(n=13)</t>
  </si>
  <si>
    <t xml:space="preserve">(n=11)</t>
  </si>
  <si>
    <t xml:space="preserve">(n=15)</t>
  </si>
  <si>
    <t xml:space="preserve">CISNE NEGRO — 47 SINAIS EMITIDOS</t>
  </si>
  <si>
    <t xml:space="preserve">Mandante</t>
  </si>
  <si>
    <t xml:space="preserve">Visitante</t>
  </si>
  <si>
    <t xml:space="preserve">Favorito</t>
  </si>
  <si>
    <t xml:space="preserve">Vant. proj.</t>
  </si>
  <si>
    <t xml:space="preserve">Margem real</t>
  </si>
  <si>
    <t xml:space="preserve">Diff (real-proj)</t>
  </si>
  <si>
    <t xml:space="preserve">Cantos FT real</t>
  </si>
  <si>
    <t xml:space="preserve">Vence cantos?</t>
  </si>
  <si>
    <t xml:space="preserve">Bate margem?</t>
  </si>
  <si>
    <t xml:space="preserve">Nível</t>
  </si>
  <si>
    <t xml:space="preserve">ALM</t>
  </si>
  <si>
    <t xml:space="preserve">Melbourne City</t>
  </si>
  <si>
    <t xml:space="preserve">Adelaide United</t>
  </si>
  <si>
    <t xml:space="preserve">3-10</t>
  </si>
  <si>
    <t xml:space="preserve">SIM</t>
  </si>
  <si>
    <t xml:space="preserve">Altíssima (Gatilho)</t>
  </si>
  <si>
    <t xml:space="preserve">Newcastle Jets</t>
  </si>
  <si>
    <t xml:space="preserve">Central Coast Mariners</t>
  </si>
  <si>
    <t xml:space="preserve">5-3</t>
  </si>
  <si>
    <t xml:space="preserve">NÃO</t>
  </si>
  <si>
    <t xml:space="preserve">Perth Glory</t>
  </si>
  <si>
    <t xml:space="preserve">Brisbane Roar</t>
  </si>
  <si>
    <t xml:space="preserve">2-6</t>
  </si>
  <si>
    <t xml:space="preserve">WS Wanderers</t>
  </si>
  <si>
    <t xml:space="preserve">Melbourne Victory</t>
  </si>
  <si>
    <t xml:space="preserve">4-5</t>
  </si>
  <si>
    <t xml:space="preserve">ARG</t>
  </si>
  <si>
    <t xml:space="preserve">Atl. Tucuman</t>
  </si>
  <si>
    <t xml:space="preserve">Banfield</t>
  </si>
  <si>
    <t xml:space="preserve">3-2</t>
  </si>
  <si>
    <t xml:space="preserve">Estudiantes Rio Cuarto</t>
  </si>
  <si>
    <t xml:space="preserve">Rosario Central</t>
  </si>
  <si>
    <t xml:space="preserve">0-4</t>
  </si>
  <si>
    <t xml:space="preserve">Ind. Rivadavia</t>
  </si>
  <si>
    <t xml:space="preserve">Gimnasia Mendoza</t>
  </si>
  <si>
    <t xml:space="preserve">11-2</t>
  </si>
  <si>
    <t xml:space="preserve">Lanus</t>
  </si>
  <si>
    <t xml:space="preserve">Central Cordoba</t>
  </si>
  <si>
    <t xml:space="preserve">Newells Old Boys</t>
  </si>
  <si>
    <t xml:space="preserve">Instituto</t>
  </si>
  <si>
    <t xml:space="preserve">4-3</t>
  </si>
  <si>
    <t xml:space="preserve">Racing Club</t>
  </si>
  <si>
    <t xml:space="preserve">Barracas Central</t>
  </si>
  <si>
    <t xml:space="preserve">2-3</t>
  </si>
  <si>
    <t xml:space="preserve">River Plate</t>
  </si>
  <si>
    <t xml:space="preserve">Aldosivi</t>
  </si>
  <si>
    <t xml:space="preserve">8-1</t>
  </si>
  <si>
    <t xml:space="preserve">Velez Sarsfield</t>
  </si>
  <si>
    <t xml:space="preserve">Union de Santa Fe</t>
  </si>
  <si>
    <t xml:space="preserve">2-4</t>
  </si>
  <si>
    <t xml:space="preserve">ARG_B</t>
  </si>
  <si>
    <t xml:space="preserve">Agropecuario</t>
  </si>
  <si>
    <t xml:space="preserve">San Martin T</t>
  </si>
  <si>
    <t xml:space="preserve">2-2</t>
  </si>
  <si>
    <t xml:space="preserve">Central Norte</t>
  </si>
  <si>
    <t xml:space="preserve">Ciudad Bolivar</t>
  </si>
  <si>
    <t xml:space="preserve">5-2</t>
  </si>
  <si>
    <t xml:space="preserve">Chacarita Juniors</t>
  </si>
  <si>
    <t xml:space="preserve">Midland</t>
  </si>
  <si>
    <t xml:space="preserve">Club A. Guemes</t>
  </si>
  <si>
    <t xml:space="preserve">Atletico Atlanta</t>
  </si>
  <si>
    <t xml:space="preserve">4-2</t>
  </si>
  <si>
    <t xml:space="preserve">Deportivo Moron</t>
  </si>
  <si>
    <t xml:space="preserve">Racing Cordoba</t>
  </si>
  <si>
    <t xml:space="preserve">6-1</t>
  </si>
  <si>
    <t xml:space="preserve">Ferro</t>
  </si>
  <si>
    <t xml:space="preserve">Almirante Brown</t>
  </si>
  <si>
    <t xml:space="preserve">8-0</t>
  </si>
  <si>
    <t xml:space="preserve">Nueva Chicago</t>
  </si>
  <si>
    <t xml:space="preserve">Colegiales</t>
  </si>
  <si>
    <t xml:space="preserve">3-4</t>
  </si>
  <si>
    <t xml:space="preserve">San Miguel</t>
  </si>
  <si>
    <t xml:space="preserve">Los Andes</t>
  </si>
  <si>
    <t xml:space="preserve">11-4</t>
  </si>
  <si>
    <t xml:space="preserve">BR</t>
  </si>
  <si>
    <t xml:space="preserve">Botafogo RJ</t>
  </si>
  <si>
    <t xml:space="preserve">Internacional</t>
  </si>
  <si>
    <t xml:space="preserve">3-5</t>
  </si>
  <si>
    <t xml:space="preserve">Corinthians</t>
  </si>
  <si>
    <t xml:space="preserve">Vasco</t>
  </si>
  <si>
    <t xml:space="preserve">5-7</t>
  </si>
  <si>
    <t xml:space="preserve">Fluminense</t>
  </si>
  <si>
    <t xml:space="preserve">Chapecoense-SC</t>
  </si>
  <si>
    <t xml:space="preserve">7-1</t>
  </si>
  <si>
    <t xml:space="preserve">Grêmio</t>
  </si>
  <si>
    <t xml:space="preserve">Coritiba</t>
  </si>
  <si>
    <t xml:space="preserve">BUN</t>
  </si>
  <si>
    <t xml:space="preserve">Augsburg</t>
  </si>
  <si>
    <t xml:space="preserve">Eintracht Frankfurt</t>
  </si>
  <si>
    <t xml:space="preserve">9-7</t>
  </si>
  <si>
    <t xml:space="preserve">Dortmund</t>
  </si>
  <si>
    <t xml:space="preserve">Freiburg</t>
  </si>
  <si>
    <t xml:space="preserve">5-0</t>
  </si>
  <si>
    <t xml:space="preserve">Hamburger SV</t>
  </si>
  <si>
    <t xml:space="preserve">Hoffenheim</t>
  </si>
  <si>
    <t xml:space="preserve">4-9</t>
  </si>
  <si>
    <t xml:space="preserve">Mainz</t>
  </si>
  <si>
    <t xml:space="preserve">Bayern Munich</t>
  </si>
  <si>
    <t xml:space="preserve">4-4</t>
  </si>
  <si>
    <t xml:space="preserve">RB Leipzig</t>
  </si>
  <si>
    <t xml:space="preserve">Union Berlin</t>
  </si>
  <si>
    <t xml:space="preserve">10-4</t>
  </si>
  <si>
    <t xml:space="preserve">Stuttgart</t>
  </si>
  <si>
    <t xml:space="preserve">Werder Bremen</t>
  </si>
  <si>
    <t xml:space="preserve">14-2</t>
  </si>
  <si>
    <t xml:space="preserve">CHI</t>
  </si>
  <si>
    <t xml:space="preserve">U. de Concepcion</t>
  </si>
  <si>
    <t xml:space="preserve">Colo Colo</t>
  </si>
  <si>
    <t xml:space="preserve">U. De Concepcion</t>
  </si>
  <si>
    <t xml:space="preserve">ECU</t>
  </si>
  <si>
    <t xml:space="preserve">Guayaquil City</t>
  </si>
  <si>
    <t xml:space="preserve">Tecnico U.</t>
  </si>
  <si>
    <t xml:space="preserve">1-7</t>
  </si>
  <si>
    <t xml:space="preserve">Ind. del Valle</t>
  </si>
  <si>
    <t xml:space="preserve">Leones del Norte</t>
  </si>
  <si>
    <t xml:space="preserve">5-5</t>
  </si>
  <si>
    <t xml:space="preserve">Mushuc Runa</t>
  </si>
  <si>
    <t xml:space="preserve">Dep. Cuenca</t>
  </si>
  <si>
    <t xml:space="preserve">3-8</t>
  </si>
  <si>
    <t xml:space="preserve">J1</t>
  </si>
  <si>
    <t xml:space="preserve">Kawasaki Frontale</t>
  </si>
  <si>
    <t xml:space="preserve">Chiba</t>
  </si>
  <si>
    <t xml:space="preserve">Sanfrecce Hiroshima</t>
  </si>
  <si>
    <t xml:space="preserve">Cerezo Osaka</t>
  </si>
  <si>
    <t xml:space="preserve">11-5</t>
  </si>
  <si>
    <t xml:space="preserve">Shimizu S-Pulse</t>
  </si>
  <si>
    <t xml:space="preserve">Nagoya Grampus</t>
  </si>
  <si>
    <t xml:space="preserve">1-3</t>
  </si>
  <si>
    <t xml:space="preserve">MLS</t>
  </si>
  <si>
    <t xml:space="preserve">Austin FC</t>
  </si>
  <si>
    <t xml:space="preserve">Houston Dynamo</t>
  </si>
  <si>
    <t xml:space="preserve">Chicago Fire</t>
  </si>
  <si>
    <t xml:space="preserve">Sporting Kansas City</t>
  </si>
  <si>
    <t xml:space="preserve">FC Cincinnati</t>
  </si>
  <si>
    <t xml:space="preserve">New York Red Bulls</t>
  </si>
  <si>
    <t xml:space="preserve">4-7</t>
  </si>
  <si>
    <t xml:space="preserve">Inter Miami</t>
  </si>
  <si>
    <t xml:space="preserve">New England Revolution</t>
  </si>
  <si>
    <t xml:space="preserve">Nashville SC</t>
  </si>
  <si>
    <t xml:space="preserve">Charlotte</t>
  </si>
  <si>
    <t xml:space="preserve">6-4</t>
  </si>
  <si>
    <t xml:space="preserve">San Diego FC</t>
  </si>
  <si>
    <t xml:space="preserve">Portland Timbers</t>
  </si>
  <si>
    <t xml:space="preserve">6-6</t>
  </si>
  <si>
    <t xml:space="preserve">Seattle Sounders</t>
  </si>
  <si>
    <t xml:space="preserve">FC Dallas</t>
  </si>
  <si>
    <t xml:space="preserve">St. Louis City</t>
  </si>
  <si>
    <t xml:space="preserve">San Jose Earthquakes</t>
  </si>
  <si>
    <t xml:space="preserve">10-3</t>
  </si>
  <si>
    <t xml:space="preserve">Toronto FC</t>
  </si>
  <si>
    <t xml:space="preserve">Atlanta Utd</t>
  </si>
  <si>
    <t xml:space="preserve">8-7</t>
  </si>
  <si>
    <t xml:space="preserve">Vancouver Whitecaps</t>
  </si>
  <si>
    <t xml:space="preserve">Colorado Rapids</t>
  </si>
  <si>
    <t xml:space="preserve">8-3</t>
  </si>
  <si>
    <t xml:space="preserve">TOTAIS</t>
  </si>
  <si>
    <t xml:space="preserve">TEACHER — 95 JOGOS</t>
  </si>
  <si>
    <t xml:space="preserve">xCorners HT</t>
  </si>
  <si>
    <t xml:space="preserve">Cantos HT real</t>
  </si>
  <si>
    <t xml:space="preserve">Erro abs HT</t>
  </si>
  <si>
    <t xml:space="preserve">xCorners FT</t>
  </si>
  <si>
    <t xml:space="preserve">Erro abs FT</t>
  </si>
  <si>
    <t xml:space="preserve">Sniper HT</t>
  </si>
  <si>
    <t xml:space="preserve">Acerto HT</t>
  </si>
  <si>
    <t xml:space="preserve">Sniper FT</t>
  </si>
  <si>
    <t xml:space="preserve">Acerto FT</t>
  </si>
  <si>
    <t xml:space="preserve">Vencedor proj</t>
  </si>
  <si>
    <t xml:space="preserve">Vencedor real</t>
  </si>
  <si>
    <t xml:space="preserve">Acerto venc.</t>
  </si>
  <si>
    <t xml:space="preserve">Confiança</t>
  </si>
  <si>
    <t xml:space="preserve">Macarthur FC</t>
  </si>
  <si>
    <t xml:space="preserve">Wellington Phoenix</t>
  </si>
  <si>
    <t xml:space="preserve">OVER 4</t>
  </si>
  <si>
    <t xml:space="preserve">OVER 10</t>
  </si>
  <si>
    <t xml:space="preserve">UNDER 4</t>
  </si>
  <si>
    <t xml:space="preserve">UNDER 10</t>
  </si>
  <si>
    <t xml:space="preserve">NEUTRO</t>
  </si>
  <si>
    <t xml:space="preserve">—</t>
  </si>
  <si>
    <t xml:space="preserve">Sydney FC</t>
  </si>
  <si>
    <t xml:space="preserve">Auckland FC</t>
  </si>
  <si>
    <t xml:space="preserve">EMPATE</t>
  </si>
  <si>
    <t xml:space="preserve">Belgrano</t>
  </si>
  <si>
    <t xml:space="preserve">Gimnasia LP</t>
  </si>
  <si>
    <t xml:space="preserve">Gimnasia L.P.</t>
  </si>
  <si>
    <t xml:space="preserve">Dep. Riestra</t>
  </si>
  <si>
    <t xml:space="preserve">Independiente</t>
  </si>
  <si>
    <t xml:space="preserve">Estudiantes LP</t>
  </si>
  <si>
    <t xml:space="preserve">Talleres Cordoba</t>
  </si>
  <si>
    <t xml:space="preserve">Estudiantes L.P.</t>
  </si>
  <si>
    <t xml:space="preserve">Huracan</t>
  </si>
  <si>
    <t xml:space="preserve">Argentinos Juniors</t>
  </si>
  <si>
    <t xml:space="preserve">Argentinos Jrs</t>
  </si>
  <si>
    <t xml:space="preserve">Platense</t>
  </si>
  <si>
    <t xml:space="preserve">San Lorenzo</t>
  </si>
  <si>
    <t xml:space="preserve">Sarmiento Junin</t>
  </si>
  <si>
    <t xml:space="preserve">Tigre</t>
  </si>
  <si>
    <t xml:space="preserve">Acassuso</t>
  </si>
  <si>
    <t xml:space="preserve">CA Estudiantes</t>
  </si>
  <si>
    <t xml:space="preserve">Atl. Rafaela</t>
  </si>
  <si>
    <t xml:space="preserve">Gimnasia Jujuy</t>
  </si>
  <si>
    <t xml:space="preserve">Chaco For Ever</t>
  </si>
  <si>
    <t xml:space="preserve">CA Mitre</t>
  </si>
  <si>
    <t xml:space="preserve">Colon Santa Fe</t>
  </si>
  <si>
    <t xml:space="preserve">Godoy Cruz</t>
  </si>
  <si>
    <t xml:space="preserve">Deportivo Madryn</t>
  </si>
  <si>
    <t xml:space="preserve">Def. de Belgrano</t>
  </si>
  <si>
    <t xml:space="preserve">Deportivo Maipu</t>
  </si>
  <si>
    <t xml:space="preserve">Almagro</t>
  </si>
  <si>
    <t xml:space="preserve">San Martin SJ</t>
  </si>
  <si>
    <t xml:space="preserve">Quilmes</t>
  </si>
  <si>
    <t xml:space="preserve">San Telmo</t>
  </si>
  <si>
    <t xml:space="preserve">All Boys</t>
  </si>
  <si>
    <t xml:space="preserve">Temperley</t>
  </si>
  <si>
    <t xml:space="preserve">Patronato</t>
  </si>
  <si>
    <t xml:space="preserve">Tristan Suarez</t>
  </si>
  <si>
    <t xml:space="preserve">Gimnasia y Tiro</t>
  </si>
  <si>
    <t xml:space="preserve">Athletico-PR</t>
  </si>
  <si>
    <t xml:space="preserve">Vitória</t>
  </si>
  <si>
    <t xml:space="preserve">Atlético-MG</t>
  </si>
  <si>
    <t xml:space="preserve">Flamengo RJ</t>
  </si>
  <si>
    <t xml:space="preserve">Flamengo</t>
  </si>
  <si>
    <t xml:space="preserve">Bahia</t>
  </si>
  <si>
    <t xml:space="preserve">Santos</t>
  </si>
  <si>
    <t xml:space="preserve">Bragantino</t>
  </si>
  <si>
    <t xml:space="preserve">Palmeiras</t>
  </si>
  <si>
    <t xml:space="preserve">Red Bull Bragantino</t>
  </si>
  <si>
    <t xml:space="preserve">Remo</t>
  </si>
  <si>
    <t xml:space="preserve">Cruzeiro</t>
  </si>
  <si>
    <t xml:space="preserve">São Paulo</t>
  </si>
  <si>
    <t xml:space="preserve">Mirassol</t>
  </si>
  <si>
    <t xml:space="preserve">FC Koln</t>
  </si>
  <si>
    <t xml:space="preserve">Bayer Leverkusen</t>
  </si>
  <si>
    <t xml:space="preserve">Heidenheim</t>
  </si>
  <si>
    <t xml:space="preserve">St. Pauli</t>
  </si>
  <si>
    <t xml:space="preserve">Wolfsburg</t>
  </si>
  <si>
    <t xml:space="preserve">B. Monchengladbach</t>
  </si>
  <si>
    <t xml:space="preserve">A. Italiano</t>
  </si>
  <si>
    <t xml:space="preserve">Limache</t>
  </si>
  <si>
    <t xml:space="preserve">Everton</t>
  </si>
  <si>
    <t xml:space="preserve">Cobresal</t>
  </si>
  <si>
    <t xml:space="preserve">La Serena</t>
  </si>
  <si>
    <t xml:space="preserve">Huachipato</t>
  </si>
  <si>
    <t xml:space="preserve">Nublense</t>
  </si>
  <si>
    <t xml:space="preserve">O'Higgins</t>
  </si>
  <si>
    <t xml:space="preserve">U. de Chile</t>
  </si>
  <si>
    <t xml:space="preserve">U. Catolica</t>
  </si>
  <si>
    <t xml:space="preserve">Union La Calera</t>
  </si>
  <si>
    <t xml:space="preserve">Coquimbo</t>
  </si>
  <si>
    <t xml:space="preserve">Aucas</t>
  </si>
  <si>
    <t xml:space="preserve">Delfin</t>
  </si>
  <si>
    <t xml:space="preserve">Emelec</t>
  </si>
  <si>
    <t xml:space="preserve">LDU Quito</t>
  </si>
  <si>
    <t xml:space="preserve">Macara</t>
  </si>
  <si>
    <t xml:space="preserve">Libertad</t>
  </si>
  <si>
    <t xml:space="preserve">Manta</t>
  </si>
  <si>
    <t xml:space="preserve">Orense</t>
  </si>
  <si>
    <t xml:space="preserve">Barcelona SC</t>
  </si>
  <si>
    <t xml:space="preserve">FC Tokyo</t>
  </si>
  <si>
    <t xml:space="preserve">Mito</t>
  </si>
  <si>
    <t xml:space="preserve">Kashiwa Reysol</t>
  </si>
  <si>
    <t xml:space="preserve">Kashima Antlers</t>
  </si>
  <si>
    <t xml:space="preserve">Okayama</t>
  </si>
  <si>
    <t xml:space="preserve">Avispa Fukuoka</t>
  </si>
  <si>
    <t xml:space="preserve">Urawa Reds</t>
  </si>
  <si>
    <t xml:space="preserve">Yokohama F. Marinos</t>
  </si>
  <si>
    <t xml:space="preserve">V-Varen Nagasaki</t>
  </si>
  <si>
    <t xml:space="preserve">Gamba Osaka</t>
  </si>
  <si>
    <t xml:space="preserve">CF Montreal</t>
  </si>
  <si>
    <t xml:space="preserve">New York City</t>
  </si>
  <si>
    <t xml:space="preserve">Columbus Crew</t>
  </si>
  <si>
    <t xml:space="preserve">Philadelphia Union</t>
  </si>
  <si>
    <t xml:space="preserve">DC United</t>
  </si>
  <si>
    <t xml:space="preserve">Orlando City</t>
  </si>
  <si>
    <t xml:space="preserve">LA Galaxy</t>
  </si>
  <si>
    <t xml:space="preserve">Real Salt Lake</t>
  </si>
  <si>
    <t xml:space="preserve">Los Angeles Galaxy</t>
  </si>
  <si>
    <t xml:space="preserve">Minnesota United</t>
  </si>
  <si>
    <t xml:space="preserve">LAFC</t>
  </si>
  <si>
    <t xml:space="preserve">Los Angeles FC</t>
  </si>
  <si>
    <t xml:space="preserve">ENIGMA — 95 JOGOS</t>
  </si>
  <si>
    <t xml:space="preserve">SDE</t>
  </si>
  <si>
    <t xml:space="preserve">Classificação</t>
  </si>
  <si>
    <t xml:space="preserve">Total estimado</t>
  </si>
  <si>
    <t xml:space="preserve">Total real</t>
  </si>
  <si>
    <t xml:space="preserve">Erro abs</t>
  </si>
  <si>
    <t xml:space="preserve">LinhaFT</t>
  </si>
  <si>
    <t xml:space="preserve">Acerto Hand. FT</t>
  </si>
  <si>
    <t xml:space="preserve">LinhaHT</t>
  </si>
  <si>
    <t xml:space="preserve">Acerto OVER HT</t>
  </si>
  <si>
    <t xml:space="preserve">RUIDO</t>
  </si>
  <si>
    <t xml:space="preserve">WATCH</t>
  </si>
  <si>
    <t xml:space="preserve">-1.0</t>
  </si>
  <si>
    <t xml:space="preserve">4.5</t>
  </si>
  <si>
    <t xml:space="preserve">ATIVO</t>
  </si>
  <si>
    <t xml:space="preserve">-2.5</t>
  </si>
  <si>
    <t xml:space="preserve">5.5</t>
  </si>
  <si>
    <t xml:space="preserve">4</t>
  </si>
  <si>
    <t xml:space="preserve">3.5</t>
  </si>
  <si>
    <t xml:space="preserve">2.5</t>
  </si>
  <si>
    <t xml:space="preserve">5</t>
  </si>
  <si>
    <t xml:space="preserve">6.5</t>
  </si>
  <si>
    <t xml:space="preserve">6</t>
  </si>
  <si>
    <t xml:space="preserve">3</t>
  </si>
  <si>
    <t xml:space="preserve">TABELA MESTRA — TODAS AS PROJEÇÕES E RESULTADOS</t>
  </si>
  <si>
    <t xml:space="preserve">liga</t>
  </si>
  <si>
    <t xml:space="preserve">mandante</t>
  </si>
  <si>
    <t xml:space="preserve">visitante</t>
  </si>
  <si>
    <t xml:space="preserve">jogo</t>
  </si>
  <si>
    <t xml:space="preserve">placar_ft</t>
  </si>
  <si>
    <t xml:space="preserve">cantos_ht</t>
  </si>
  <si>
    <t xml:space="preserve">cantos_ft</t>
  </si>
  <si>
    <t xml:space="preserve">total_ht</t>
  </si>
  <si>
    <t xml:space="preserve">total_ft</t>
  </si>
  <si>
    <t xml:space="preserve">margem_cantos_ft</t>
  </si>
  <si>
    <t xml:space="preserve">vencedor_jogo</t>
  </si>
  <si>
    <t xml:space="preserve">vencedor_cantos</t>
  </si>
  <si>
    <t xml:space="preserve">cisne_emite_sinal</t>
  </si>
  <si>
    <t xml:space="preserve">cisne_favorito</t>
  </si>
  <si>
    <t xml:space="preserve">cisne_vantagem_proj</t>
  </si>
  <si>
    <t xml:space="preserve">cisne_margem_real_fav</t>
  </si>
  <si>
    <t xml:space="preserve">cisne_diff_real_proj</t>
  </si>
  <si>
    <t xml:space="preserve">cisne_acerto_total</t>
  </si>
  <si>
    <t xml:space="preserve">cisne_acerto_minimo</t>
  </si>
  <si>
    <t xml:space="preserve">cisne_nivel</t>
  </si>
  <si>
    <t xml:space="preserve">teach_exp_ht</t>
  </si>
  <si>
    <t xml:space="preserve">teach_exp_ft</t>
  </si>
  <si>
    <t xml:space="preserve">teach_conf_ft</t>
  </si>
  <si>
    <t xml:space="preserve">teach_erro_abs_ht</t>
  </si>
  <si>
    <t xml:space="preserve">teach_erro_abs_ft</t>
  </si>
  <si>
    <t xml:space="preserve">teach_erro_signed_ht</t>
  </si>
  <si>
    <t xml:space="preserve">teach_erro_signed_ft</t>
  </si>
  <si>
    <t xml:space="preserve">teach_sniper_ht</t>
  </si>
  <si>
    <t xml:space="preserve">teach_acerto_sht</t>
  </si>
  <si>
    <t xml:space="preserve">teach_sniper_ft</t>
  </si>
  <si>
    <t xml:space="preserve">teach_acerto_sft</t>
  </si>
  <si>
    <t xml:space="preserve">teach_vencedor_proj</t>
  </si>
  <si>
    <t xml:space="preserve">teach_acerto_vencedor</t>
  </si>
  <si>
    <t xml:space="preserve">enig_sde</t>
  </si>
  <si>
    <t xml:space="preserve">enig_classificacao</t>
  </si>
  <si>
    <t xml:space="preserve">enig_total_estimado</t>
  </si>
  <si>
    <t xml:space="preserve">enig_erro_abs_total</t>
  </si>
  <si>
    <t xml:space="preserve">enig_linhaFT</t>
  </si>
  <si>
    <t xml:space="preserve">enig_linhaHT</t>
  </si>
  <si>
    <t xml:space="preserve">enig_acerto_handicap_ft</t>
  </si>
  <si>
    <t xml:space="preserve">enig_acerto_over_ht</t>
  </si>
  <si>
    <t xml:space="preserve">Macarthur FC x Wellington Phoenix</t>
  </si>
  <si>
    <t xml:space="preserve">4-0</t>
  </si>
  <si>
    <t xml:space="preserve">6-3</t>
  </si>
  <si>
    <t xml:space="preserve">8-6</t>
  </si>
  <si>
    <t xml:space="preserve">Melbourne City x Adelaide United</t>
  </si>
  <si>
    <t xml:space="preserve">1-2</t>
  </si>
  <si>
    <t xml:space="preserve">Newcastle Jets x Central Coast Mariners</t>
  </si>
  <si>
    <t xml:space="preserve">3-3</t>
  </si>
  <si>
    <t xml:space="preserve">Perth Glory x Brisbane Roar</t>
  </si>
  <si>
    <t xml:space="preserve">2-1</t>
  </si>
  <si>
    <t xml:space="preserve">1-4</t>
  </si>
  <si>
    <t xml:space="preserve">Sydney FC x Auckland FC</t>
  </si>
  <si>
    <t xml:space="preserve">0-2</t>
  </si>
  <si>
    <t xml:space="preserve">4-6</t>
  </si>
  <si>
    <t xml:space="preserve">WS Wanderers x Melbourne Victory</t>
  </si>
  <si>
    <t xml:space="preserve">Atl. Tucuman x Banfield</t>
  </si>
  <si>
    <t xml:space="preserve">1-1</t>
  </si>
  <si>
    <t xml:space="preserve">Belgrano x Gimnasia LP</t>
  </si>
  <si>
    <t xml:space="preserve">0-1</t>
  </si>
  <si>
    <t xml:space="preserve">3-6</t>
  </si>
  <si>
    <t xml:space="preserve">Dep. Riestra x Independiente</t>
  </si>
  <si>
    <t xml:space="preserve">2-0</t>
  </si>
  <si>
    <t xml:space="preserve">Estudiantes LP x Talleres Cordoba</t>
  </si>
  <si>
    <t xml:space="preserve">0-0</t>
  </si>
  <si>
    <t xml:space="preserve">3-0</t>
  </si>
  <si>
    <t xml:space="preserve">Estudiantes Rio Cuarto x Rosario Central</t>
  </si>
  <si>
    <t xml:space="preserve">Huracan x Argentinos Juniors</t>
  </si>
  <si>
    <t xml:space="preserve">Ind. Rivadavia x Gimnasia Mendoza</t>
  </si>
  <si>
    <t xml:space="preserve">5-1</t>
  </si>
  <si>
    <t xml:space="preserve">7-2</t>
  </si>
  <si>
    <t xml:space="preserve">Lanus x Central Cordoba</t>
  </si>
  <si>
    <t xml:space="preserve">Newells Old Boys x Instituto</t>
  </si>
  <si>
    <t xml:space="preserve">Platense x San Lorenzo</t>
  </si>
  <si>
    <t xml:space="preserve">8-4</t>
  </si>
  <si>
    <t xml:space="preserve">Racing Club x Barracas Central</t>
  </si>
  <si>
    <t xml:space="preserve">1-0</t>
  </si>
  <si>
    <t xml:space="preserve">River Plate x Aldosivi</t>
  </si>
  <si>
    <t xml:space="preserve">3-1</t>
  </si>
  <si>
    <t xml:space="preserve">6-0</t>
  </si>
  <si>
    <t xml:space="preserve">Sarmiento Junin x Tigre</t>
  </si>
  <si>
    <t xml:space="preserve">Velez Sarsfield x Union de Santa Fe</t>
  </si>
  <si>
    <t xml:space="preserve">Acassuso x CA Estudiantes</t>
  </si>
  <si>
    <t xml:space="preserve">3-7</t>
  </si>
  <si>
    <t xml:space="preserve">Agropecuario x San Martin T</t>
  </si>
  <si>
    <t xml:space="preserve">Atl. Rafaela x Gimnasia Jujuy</t>
  </si>
  <si>
    <t xml:space="preserve">Central Norte x Ciudad Bolivar</t>
  </si>
  <si>
    <t xml:space="preserve">Chacarita Juniors x Midland</t>
  </si>
  <si>
    <t xml:space="preserve">Chaco For Ever x CA Mitre</t>
  </si>
  <si>
    <t xml:space="preserve">Club A. Guemes x Atletico Atlanta</t>
  </si>
  <si>
    <t xml:space="preserve">4-1</t>
  </si>
  <si>
    <t xml:space="preserve">Colon Santa Fe x Godoy Cruz</t>
  </si>
  <si>
    <t xml:space="preserve">Deportivo Madryn x Def. de Belgrano</t>
  </si>
  <si>
    <t xml:space="preserve">Deportivo Maipu x Almagro</t>
  </si>
  <si>
    <t xml:space="preserve">10-6</t>
  </si>
  <si>
    <t xml:space="preserve">Deportivo Moron x Racing Cordoba</t>
  </si>
  <si>
    <t xml:space="preserve">Ferro x Almirante Brown</t>
  </si>
  <si>
    <t xml:space="preserve">Nueva Chicago x Colegiales</t>
  </si>
  <si>
    <t xml:space="preserve">San Martin SJ x Quilmes</t>
  </si>
  <si>
    <t xml:space="preserve">San Miguel x Los Andes</t>
  </si>
  <si>
    <t xml:space="preserve">San Telmo x All Boys</t>
  </si>
  <si>
    <t xml:space="preserve">2-5</t>
  </si>
  <si>
    <t xml:space="preserve">Temperley x Patronato</t>
  </si>
  <si>
    <t xml:space="preserve">Tristan Suarez x Gimnasia y Tiro</t>
  </si>
  <si>
    <t xml:space="preserve">8-5</t>
  </si>
  <si>
    <t xml:space="preserve">Athletico-PR x Vitória</t>
  </si>
  <si>
    <t xml:space="preserve">Atlético-MG x Flamengo RJ</t>
  </si>
  <si>
    <t xml:space="preserve">Bahia x Santos</t>
  </si>
  <si>
    <t xml:space="preserve">Botafogo RJ x Internacional</t>
  </si>
  <si>
    <t xml:space="preserve">Bragantino x Palmeiras</t>
  </si>
  <si>
    <t xml:space="preserve">9-4</t>
  </si>
  <si>
    <t xml:space="preserve">Corinthians x Vasco</t>
  </si>
  <si>
    <t xml:space="preserve">Fluminense x Chapecoense-SC</t>
  </si>
  <si>
    <t xml:space="preserve">Grêmio x Coritiba</t>
  </si>
  <si>
    <t xml:space="preserve">Remo x Cruzeiro</t>
  </si>
  <si>
    <t xml:space="preserve">São Paulo x Mirassol</t>
  </si>
  <si>
    <t xml:space="preserve">12-4</t>
  </si>
  <si>
    <t xml:space="preserve">Augsburg x Eintracht Frankfurt</t>
  </si>
  <si>
    <t xml:space="preserve">Dortmund x Freiburg</t>
  </si>
  <si>
    <t xml:space="preserve">FC Koln x Bayer Leverkusen</t>
  </si>
  <si>
    <t xml:space="preserve">0-5</t>
  </si>
  <si>
    <t xml:space="preserve">Hamburger SV x Hoffenheim</t>
  </si>
  <si>
    <t xml:space="preserve">Heidenheim x St. Pauli</t>
  </si>
  <si>
    <t xml:space="preserve">Mainz x Bayern Munich</t>
  </si>
  <si>
    <t xml:space="preserve">RB Leipzig x Union Berlin</t>
  </si>
  <si>
    <t xml:space="preserve">Stuttgart x Werder Bremen</t>
  </si>
  <si>
    <t xml:space="preserve">6-2</t>
  </si>
  <si>
    <t xml:space="preserve">Wolfsburg x B. Monchengladbach</t>
  </si>
  <si>
    <t xml:space="preserve">A. Italiano x Limache</t>
  </si>
  <si>
    <t xml:space="preserve">Everton x Cobresal</t>
  </si>
  <si>
    <t xml:space="preserve">La Serena x Huachipato</t>
  </si>
  <si>
    <t xml:space="preserve">Nublense x O'Higgins</t>
  </si>
  <si>
    <t xml:space="preserve">U. de Chile x U. Catolica</t>
  </si>
  <si>
    <t xml:space="preserve">7-3</t>
  </si>
  <si>
    <t xml:space="preserve">U. de Concepcion x Colo Colo</t>
  </si>
  <si>
    <t xml:space="preserve">Union La Calera x Coquimbo</t>
  </si>
  <si>
    <t xml:space="preserve">Aucas x Delfin</t>
  </si>
  <si>
    <t xml:space="preserve">Emelec x LDU Quito</t>
  </si>
  <si>
    <t xml:space="preserve">Guayaquil City x Tecnico U.</t>
  </si>
  <si>
    <t xml:space="preserve">Ind. del Valle x Leones del Norte</t>
  </si>
  <si>
    <t xml:space="preserve">Macara x Libertad</t>
  </si>
  <si>
    <t xml:space="preserve">Manta x U. Catolica</t>
  </si>
  <si>
    <t xml:space="preserve">Mushuc Runa x Dep. Cuenca</t>
  </si>
  <si>
    <t xml:space="preserve">Orense x Barcelona SC</t>
  </si>
  <si>
    <t xml:space="preserve">7-4</t>
  </si>
  <si>
    <t xml:space="preserve">FC Tokyo x Mito</t>
  </si>
  <si>
    <t xml:space="preserve">Kashiwa Reysol x Kashima Antlers</t>
  </si>
  <si>
    <t xml:space="preserve">8-2</t>
  </si>
  <si>
    <t xml:space="preserve">Kawasaki Frontale x Chiba</t>
  </si>
  <si>
    <t xml:space="preserve">Okayama x Avispa Fukuoka</t>
  </si>
  <si>
    <t xml:space="preserve">Sanfrecce Hiroshima x Cerezo Osaka</t>
  </si>
  <si>
    <t xml:space="preserve">Shimizu S-Pulse x Nagoya Grampus</t>
  </si>
  <si>
    <t xml:space="preserve">Urawa Reds x Yokohama F. Marinos</t>
  </si>
  <si>
    <t xml:space="preserve">9-2</t>
  </si>
  <si>
    <t xml:space="preserve">V-Varen Nagasaki x Gamba Osaka</t>
  </si>
  <si>
    <t xml:space="preserve">7-8</t>
  </si>
  <si>
    <t xml:space="preserve">Austin FC x Houston Dynamo</t>
  </si>
  <si>
    <t xml:space="preserve">CF Montreal x New York City</t>
  </si>
  <si>
    <t xml:space="preserve">Chicago Fire x Sporting Kansas City</t>
  </si>
  <si>
    <t xml:space="preserve">Columbus Crew x Philadelphia Union</t>
  </si>
  <si>
    <t xml:space="preserve">DC United x Orlando City</t>
  </si>
  <si>
    <t xml:space="preserve">FC Cincinnati x New York Red Bulls</t>
  </si>
  <si>
    <t xml:space="preserve">Inter Miami x New England Revolution</t>
  </si>
  <si>
    <t xml:space="preserve">LA Galaxy x Real Salt Lake</t>
  </si>
  <si>
    <t xml:space="preserve">7-0</t>
  </si>
  <si>
    <t xml:space="preserve">Minnesota United x LAFC</t>
  </si>
  <si>
    <t xml:space="preserve">Nashville SC x Charlotte</t>
  </si>
  <si>
    <t xml:space="preserve">San Diego FC x Portland Timbers</t>
  </si>
  <si>
    <t xml:space="preserve">Seattle Sounders x FC Dallas</t>
  </si>
  <si>
    <t xml:space="preserve">St. Louis City x San Jose Earthquakes</t>
  </si>
  <si>
    <t xml:space="preserve">Toronto FC x Atlanta Utd</t>
  </si>
  <si>
    <t xml:space="preserve">1-5</t>
  </si>
  <si>
    <t xml:space="preserve">Vancouver Whitecaps x Colorado Rapids</t>
  </si>
  <si>
    <t xml:space="preserve">PERFORMANCE POR TIME (Sniper FT - times com n≥1)</t>
  </si>
  <si>
    <t xml:space="preserve">#</t>
  </si>
  <si>
    <t xml:space="preserve">Time</t>
  </si>
  <si>
    <t xml:space="preserve">Jogos</t>
  </si>
  <si>
    <t xml:space="preserve">TEACHER vs ENIGMA — CONCORDÂNCIA E DESEMPENHO COMPARADO</t>
  </si>
  <si>
    <t xml:space="preserve">Métricas Globais Comparadas</t>
  </si>
  <si>
    <t xml:space="preserve">Métrica</t>
  </si>
  <si>
    <t xml:space="preserve">Vencedor</t>
  </si>
  <si>
    <t xml:space="preserve">Mercado FT — acerto</t>
  </si>
  <si>
    <t xml:space="preserve">44/73 (60.3%)</t>
  </si>
  <si>
    <t xml:space="preserve">19/30 (63.3%)</t>
  </si>
  <si>
    <t xml:space="preserve">Mercado HT — acerto</t>
  </si>
  <si>
    <t xml:space="preserve">37/79 (46.8%)</t>
  </si>
  <si>
    <t xml:space="preserve">14/30 (46.7%)</t>
  </si>
  <si>
    <t xml:space="preserve">Empate / Ambos fracos</t>
  </si>
  <si>
    <t xml:space="preserve">MAE Total Cantos FT (cantos)</t>
  </si>
  <si>
    <t xml:space="preserve">Enigma (menor erro)</t>
  </si>
  <si>
    <t xml:space="preserve">Concordância em direção</t>
  </si>
  <si>
    <t xml:space="preserve">Cenário</t>
  </si>
  <si>
    <t xml:space="preserve">Concordância</t>
  </si>
  <si>
    <t xml:space="preserve">Total casos</t>
  </si>
  <si>
    <t xml:space="preserve">Observação</t>
  </si>
  <si>
    <t xml:space="preserve">Enigma ATIVO + Teacher Vencedor = mandante</t>
  </si>
  <si>
    <t xml:space="preserve">16/16 (100%)</t>
  </si>
  <si>
    <t xml:space="preserve">Os dois motores convergem 100% no vencedor quando Enigma está ATIVO</t>
  </si>
  <si>
    <t xml:space="preserve">Teacher OVER FT quando Enigma é ATIVO/WATCH</t>
  </si>
  <si>
    <t xml:space="preserve">3/24 (12%)</t>
  </si>
  <si>
    <t xml:space="preserve">Os dois motores DIVERGEM em direção do total — Teacher tende a UNDER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</si>
</sst>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\+0.00"/>
    <numFmt numFmtId="168" formatCode="\+0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A5A5A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0D0D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5" t="n">
        <v>33</v>
      </c>
      <c r="D6" s="5" t="n">
        <v>47</v>
      </c>
      <c r="E6" s="6" t="n">
        <f aca="false">IF(D6=0,"--",C6/D6)</f>
        <v>0.702127659574468</v>
      </c>
    </row>
    <row r="7" customFormat="false" ht="15" hidden="false" customHeight="false" outlineLevel="0" collapsed="false">
      <c r="A7" s="5" t="s">
        <v>8</v>
      </c>
      <c r="B7" s="5" t="s">
        <v>10</v>
      </c>
      <c r="C7" s="5" t="n">
        <v>16</v>
      </c>
      <c r="D7" s="5" t="n">
        <v>47</v>
      </c>
      <c r="E7" s="7" t="n">
        <f aca="false">IF(D7=0,"--",C7/D7)</f>
        <v>0.340425531914894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n">
        <v>37</v>
      </c>
      <c r="D8" s="5" t="n">
        <v>79</v>
      </c>
      <c r="E8" s="8" t="n">
        <f aca="false">IF(D8=0,"--",C8/D8)</f>
        <v>0.468354430379747</v>
      </c>
    </row>
    <row r="9" customFormat="false" ht="15" hidden="false" customHeight="false" outlineLevel="0" collapsed="false">
      <c r="A9" s="5" t="s">
        <v>11</v>
      </c>
      <c r="B9" s="5" t="s">
        <v>13</v>
      </c>
      <c r="C9" s="5" t="n">
        <v>44</v>
      </c>
      <c r="D9" s="5" t="n">
        <v>73</v>
      </c>
      <c r="E9" s="6" t="n">
        <f aca="false">IF(D9=0,"--",C9/D9)</f>
        <v>0.602739726027397</v>
      </c>
    </row>
    <row r="10" customFormat="false" ht="15" hidden="false" customHeight="false" outlineLevel="0" collapsed="false">
      <c r="A10" s="5" t="s">
        <v>11</v>
      </c>
      <c r="B10" s="5" t="s">
        <v>14</v>
      </c>
      <c r="C10" s="5" t="n">
        <v>43</v>
      </c>
      <c r="D10" s="5" t="n">
        <v>95</v>
      </c>
      <c r="E10" s="8" t="n">
        <f aca="false">IF(D10=0,"--",C10/D10)</f>
        <v>0.452631578947368</v>
      </c>
    </row>
    <row r="11" customFormat="false" ht="15" hidden="false" customHeight="false" outlineLevel="0" collapsed="false">
      <c r="A11" s="5" t="s">
        <v>15</v>
      </c>
      <c r="B11" s="5" t="s">
        <v>16</v>
      </c>
      <c r="C11" s="5" t="n">
        <v>19</v>
      </c>
      <c r="D11" s="5" t="n">
        <v>30</v>
      </c>
      <c r="E11" s="6" t="n">
        <f aca="false">IF(D11=0,"--",C11/D11)</f>
        <v>0.633333333333333</v>
      </c>
    </row>
    <row r="12" customFormat="false" ht="15" hidden="false" customHeight="false" outlineLevel="0" collapsed="false">
      <c r="A12" s="5" t="s">
        <v>15</v>
      </c>
      <c r="B12" s="5" t="s">
        <v>17</v>
      </c>
      <c r="C12" s="5" t="n">
        <v>14</v>
      </c>
      <c r="D12" s="5" t="n">
        <v>30</v>
      </c>
      <c r="E12" s="8" t="n">
        <f aca="false">IF(D12=0,"--",C12/D12)</f>
        <v>0.466666666666667</v>
      </c>
    </row>
    <row r="15" customFormat="false" ht="15" hidden="false" customHeight="false" outlineLevel="0" collapsed="false">
      <c r="A15" s="9" t="s">
        <v>18</v>
      </c>
    </row>
    <row r="16" customFormat="false" ht="15" hidden="false" customHeight="false" outlineLevel="0" collapsed="false">
      <c r="A16" s="10" t="s">
        <v>19</v>
      </c>
      <c r="B16" s="0" t="s">
        <v>20</v>
      </c>
    </row>
    <row r="17" customFormat="false" ht="15" hidden="false" customHeight="false" outlineLevel="0" collapsed="false">
      <c r="A17" s="11" t="s">
        <v>21</v>
      </c>
      <c r="B17" s="0" t="s">
        <v>22</v>
      </c>
    </row>
    <row r="18" customFormat="false" ht="15" hidden="false" customHeight="false" outlineLevel="0" collapsed="false">
      <c r="A18" s="12" t="s">
        <v>23</v>
      </c>
      <c r="B18" s="0" t="s">
        <v>24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3" customFormat="false" ht="52.2" hidden="false" customHeight="false" outlineLevel="0" collapsed="false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</row>
    <row r="4" customFormat="false" ht="15" hidden="false" customHeight="false" outlineLevel="0" collapsed="false">
      <c r="A4" s="13" t="s">
        <v>34</v>
      </c>
      <c r="B4" s="14" t="n">
        <v>1</v>
      </c>
      <c r="C4" s="15" t="n">
        <v>0.5</v>
      </c>
      <c r="D4" s="15" t="n">
        <v>0.5</v>
      </c>
      <c r="E4" s="16" t="n">
        <v>0.4</v>
      </c>
      <c r="F4" s="15" t="n">
        <v>0.5</v>
      </c>
      <c r="G4" s="14" t="n">
        <v>1</v>
      </c>
      <c r="H4" s="14" t="n">
        <v>1</v>
      </c>
    </row>
    <row r="5" customFormat="false" ht="15" hidden="false" customHeight="false" outlineLevel="0" collapsed="false">
      <c r="B5" s="17" t="s">
        <v>35</v>
      </c>
      <c r="C5" s="17" t="s">
        <v>35</v>
      </c>
      <c r="D5" s="17" t="s">
        <v>36</v>
      </c>
      <c r="E5" s="17" t="s">
        <v>37</v>
      </c>
      <c r="F5" s="17" t="s">
        <v>36</v>
      </c>
      <c r="G5" s="17" t="s">
        <v>38</v>
      </c>
      <c r="H5" s="17" t="s">
        <v>38</v>
      </c>
    </row>
    <row r="6" customFormat="false" ht="15" hidden="false" customHeight="false" outlineLevel="0" collapsed="false">
      <c r="A6" s="13" t="s">
        <v>39</v>
      </c>
      <c r="B6" s="14" t="n">
        <v>0.625</v>
      </c>
      <c r="C6" s="16" t="n">
        <v>0.25</v>
      </c>
      <c r="D6" s="16" t="n">
        <v>0.416666666666667</v>
      </c>
      <c r="E6" s="14" t="n">
        <v>0.8</v>
      </c>
      <c r="F6" s="16" t="n">
        <v>0.285714285714286</v>
      </c>
      <c r="G6" s="14" t="n">
        <v>0.6</v>
      </c>
      <c r="H6" s="14" t="n">
        <v>0.6</v>
      </c>
    </row>
    <row r="7" customFormat="false" ht="15" hidden="false" customHeight="false" outlineLevel="0" collapsed="false">
      <c r="B7" s="17" t="s">
        <v>40</v>
      </c>
      <c r="C7" s="17" t="s">
        <v>40</v>
      </c>
      <c r="D7" s="17" t="s">
        <v>41</v>
      </c>
      <c r="E7" s="17" t="s">
        <v>42</v>
      </c>
      <c r="F7" s="17" t="s">
        <v>43</v>
      </c>
      <c r="G7" s="17" t="s">
        <v>37</v>
      </c>
      <c r="H7" s="17" t="s">
        <v>37</v>
      </c>
    </row>
    <row r="8" customFormat="false" ht="15" hidden="false" customHeight="false" outlineLevel="0" collapsed="false">
      <c r="A8" s="13" t="s">
        <v>44</v>
      </c>
      <c r="B8" s="14" t="n">
        <v>0.625</v>
      </c>
      <c r="C8" s="16" t="n">
        <v>0.375</v>
      </c>
      <c r="D8" s="15" t="n">
        <v>0.571428571428571</v>
      </c>
      <c r="E8" s="14" t="n">
        <v>0.666666666666667</v>
      </c>
      <c r="F8" s="16" t="n">
        <v>0.277777777777778</v>
      </c>
      <c r="G8" s="14" t="n">
        <v>0.8</v>
      </c>
      <c r="H8" s="14" t="n">
        <v>0.6</v>
      </c>
    </row>
    <row r="9" customFormat="false" ht="15" hidden="false" customHeight="false" outlineLevel="0" collapsed="false">
      <c r="B9" s="17" t="s">
        <v>40</v>
      </c>
      <c r="C9" s="17" t="s">
        <v>40</v>
      </c>
      <c r="D9" s="17" t="s">
        <v>43</v>
      </c>
      <c r="E9" s="17" t="s">
        <v>45</v>
      </c>
      <c r="F9" s="17" t="s">
        <v>45</v>
      </c>
      <c r="G9" s="17" t="s">
        <v>37</v>
      </c>
      <c r="H9" s="17" t="s">
        <v>37</v>
      </c>
    </row>
    <row r="10" customFormat="false" ht="15" hidden="false" customHeight="false" outlineLevel="0" collapsed="false">
      <c r="A10" s="13" t="s">
        <v>46</v>
      </c>
      <c r="B10" s="14" t="n">
        <v>1</v>
      </c>
      <c r="C10" s="16" t="n">
        <v>0.25</v>
      </c>
      <c r="D10" s="16" t="n">
        <v>0.222222222222222</v>
      </c>
      <c r="E10" s="14" t="n">
        <v>0.625</v>
      </c>
      <c r="F10" s="14" t="n">
        <v>0.6</v>
      </c>
      <c r="G10" s="14" t="n">
        <v>0.666666666666667</v>
      </c>
      <c r="H10" s="16" t="n">
        <v>0.333333333333333</v>
      </c>
    </row>
    <row r="11" customFormat="false" ht="15" hidden="false" customHeight="false" outlineLevel="0" collapsed="false">
      <c r="B11" s="17" t="s">
        <v>35</v>
      </c>
      <c r="C11" s="17" t="s">
        <v>35</v>
      </c>
      <c r="D11" s="17" t="s">
        <v>47</v>
      </c>
      <c r="E11" s="17" t="s">
        <v>40</v>
      </c>
      <c r="F11" s="17" t="s">
        <v>42</v>
      </c>
      <c r="G11" s="17" t="s">
        <v>48</v>
      </c>
      <c r="H11" s="17" t="s">
        <v>48</v>
      </c>
    </row>
    <row r="12" customFormat="false" ht="15" hidden="false" customHeight="false" outlineLevel="0" collapsed="false">
      <c r="A12" s="13" t="s">
        <v>49</v>
      </c>
      <c r="B12" s="14" t="n">
        <v>0.666666666666667</v>
      </c>
      <c r="C12" s="14" t="n">
        <v>0.666666666666667</v>
      </c>
      <c r="D12" s="15" t="n">
        <v>0.571428571428571</v>
      </c>
      <c r="E12" s="14" t="n">
        <v>0.833333333333333</v>
      </c>
      <c r="F12" s="14" t="n">
        <v>0.666666666666667</v>
      </c>
      <c r="G12" s="14" t="n">
        <v>1</v>
      </c>
      <c r="H12" s="16" t="n">
        <v>0</v>
      </c>
    </row>
    <row r="13" customFormat="false" ht="15" hidden="false" customHeight="false" outlineLevel="0" collapsed="false">
      <c r="B13" s="17" t="s">
        <v>36</v>
      </c>
      <c r="C13" s="17" t="s">
        <v>36</v>
      </c>
      <c r="D13" s="17" t="s">
        <v>50</v>
      </c>
      <c r="E13" s="17" t="s">
        <v>36</v>
      </c>
      <c r="F13" s="17" t="s">
        <v>47</v>
      </c>
      <c r="G13" s="17" t="s">
        <v>38</v>
      </c>
      <c r="H13" s="17" t="s">
        <v>38</v>
      </c>
    </row>
    <row r="14" customFormat="false" ht="15" hidden="false" customHeight="false" outlineLevel="0" collapsed="false">
      <c r="A14" s="13" t="s">
        <v>51</v>
      </c>
      <c r="B14" s="16" t="n">
        <v>0</v>
      </c>
      <c r="C14" s="16" t="n">
        <v>0</v>
      </c>
      <c r="D14" s="16" t="n">
        <v>0.4</v>
      </c>
      <c r="E14" s="15" t="n">
        <v>0.5</v>
      </c>
      <c r="F14" s="16" t="n">
        <v>0.285714285714286</v>
      </c>
      <c r="G14" s="18" t="s">
        <v>52</v>
      </c>
      <c r="H14" s="18" t="s">
        <v>52</v>
      </c>
    </row>
    <row r="15" customFormat="false" ht="15" hidden="false" customHeight="false" outlineLevel="0" collapsed="false">
      <c r="B15" s="17" t="s">
        <v>38</v>
      </c>
      <c r="C15" s="17" t="s">
        <v>38</v>
      </c>
      <c r="D15" s="17" t="s">
        <v>37</v>
      </c>
      <c r="E15" s="17" t="s">
        <v>53</v>
      </c>
      <c r="F15" s="17" t="s">
        <v>50</v>
      </c>
    </row>
    <row r="16" customFormat="false" ht="15" hidden="false" customHeight="false" outlineLevel="0" collapsed="false">
      <c r="A16" s="13" t="s">
        <v>54</v>
      </c>
      <c r="B16" s="16" t="n">
        <v>0.333333333333333</v>
      </c>
      <c r="C16" s="16" t="n">
        <v>0.333333333333333</v>
      </c>
      <c r="D16" s="14" t="n">
        <v>0.666666666666667</v>
      </c>
      <c r="E16" s="16" t="n">
        <v>0.428571428571429</v>
      </c>
      <c r="F16" s="14" t="n">
        <v>0.75</v>
      </c>
      <c r="G16" s="16" t="n">
        <v>0.333333333333333</v>
      </c>
      <c r="H16" s="16" t="n">
        <v>0</v>
      </c>
    </row>
    <row r="17" customFormat="false" ht="15" hidden="false" customHeight="false" outlineLevel="0" collapsed="false">
      <c r="B17" s="17" t="s">
        <v>48</v>
      </c>
      <c r="C17" s="17" t="s">
        <v>48</v>
      </c>
      <c r="D17" s="17" t="s">
        <v>36</v>
      </c>
      <c r="E17" s="17" t="s">
        <v>50</v>
      </c>
      <c r="F17" s="17" t="s">
        <v>40</v>
      </c>
      <c r="G17" s="17" t="s">
        <v>48</v>
      </c>
      <c r="H17" s="17" t="s">
        <v>48</v>
      </c>
    </row>
    <row r="18" customFormat="false" ht="15" hidden="false" customHeight="false" outlineLevel="0" collapsed="false">
      <c r="A18" s="13" t="s">
        <v>55</v>
      </c>
      <c r="B18" s="14" t="n">
        <v>0.666666666666667</v>
      </c>
      <c r="C18" s="16" t="n">
        <v>0.333333333333333</v>
      </c>
      <c r="D18" s="15" t="n">
        <v>0.571428571428571</v>
      </c>
      <c r="E18" s="16" t="n">
        <v>0.333333333333333</v>
      </c>
      <c r="F18" s="16" t="n">
        <v>0.375</v>
      </c>
      <c r="G18" s="15" t="n">
        <v>0.5</v>
      </c>
      <c r="H18" s="16" t="n">
        <v>0.25</v>
      </c>
    </row>
    <row r="19" customFormat="false" ht="15" hidden="false" customHeight="false" outlineLevel="0" collapsed="false">
      <c r="B19" s="17" t="s">
        <v>48</v>
      </c>
      <c r="C19" s="17" t="s">
        <v>48</v>
      </c>
      <c r="D19" s="17" t="s">
        <v>50</v>
      </c>
      <c r="E19" s="17" t="s">
        <v>36</v>
      </c>
      <c r="F19" s="17" t="s">
        <v>40</v>
      </c>
      <c r="G19" s="17" t="s">
        <v>35</v>
      </c>
      <c r="H19" s="17" t="s">
        <v>35</v>
      </c>
    </row>
    <row r="20" customFormat="false" ht="15" hidden="false" customHeight="false" outlineLevel="0" collapsed="false">
      <c r="A20" s="13" t="s">
        <v>56</v>
      </c>
      <c r="B20" s="14" t="n">
        <v>0.8</v>
      </c>
      <c r="C20" s="16" t="n">
        <v>0.2</v>
      </c>
      <c r="D20" s="16" t="n">
        <v>0.384615384615385</v>
      </c>
      <c r="E20" s="15" t="n">
        <v>0.545454545454545</v>
      </c>
      <c r="F20" s="15" t="n">
        <v>0.533333333333333</v>
      </c>
      <c r="G20" s="14" t="n">
        <v>0.625</v>
      </c>
      <c r="H20" s="14" t="n">
        <v>0.625</v>
      </c>
    </row>
    <row r="21" customFormat="false" ht="15" hidden="false" customHeight="false" outlineLevel="0" collapsed="false">
      <c r="B21" s="17" t="s">
        <v>42</v>
      </c>
      <c r="C21" s="17" t="s">
        <v>42</v>
      </c>
      <c r="D21" s="17" t="s">
        <v>57</v>
      </c>
      <c r="E21" s="17" t="s">
        <v>58</v>
      </c>
      <c r="F21" s="17" t="s">
        <v>59</v>
      </c>
      <c r="G21" s="17" t="s">
        <v>40</v>
      </c>
      <c r="H21" s="17" t="s">
        <v>40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39.55" hidden="false" customHeight="false" outlineLevel="0" collapsed="false">
      <c r="A3" s="4" t="s">
        <v>26</v>
      </c>
      <c r="B3" s="4" t="s">
        <v>61</v>
      </c>
      <c r="C3" s="4" t="s">
        <v>62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70</v>
      </c>
    </row>
    <row r="4" customFormat="false" ht="15" hidden="false" customHeight="false" outlineLevel="0" collapsed="false">
      <c r="A4" s="5" t="s">
        <v>71</v>
      </c>
      <c r="B4" s="5" t="s">
        <v>72</v>
      </c>
      <c r="C4" s="5" t="s">
        <v>73</v>
      </c>
      <c r="D4" s="5" t="s">
        <v>73</v>
      </c>
      <c r="E4" s="19" t="n">
        <v>3.23</v>
      </c>
      <c r="F4" s="20" t="n">
        <v>7</v>
      </c>
      <c r="G4" s="19" t="n">
        <v>3.77</v>
      </c>
      <c r="H4" s="5" t="s">
        <v>74</v>
      </c>
      <c r="I4" s="21" t="s">
        <v>75</v>
      </c>
      <c r="J4" s="21" t="s">
        <v>75</v>
      </c>
      <c r="K4" s="5" t="s">
        <v>76</v>
      </c>
    </row>
    <row r="5" customFormat="false" ht="15" hidden="false" customHeight="false" outlineLevel="0" collapsed="false">
      <c r="A5" s="5" t="s">
        <v>71</v>
      </c>
      <c r="B5" s="5" t="s">
        <v>77</v>
      </c>
      <c r="C5" s="5" t="s">
        <v>78</v>
      </c>
      <c r="D5" s="5" t="s">
        <v>77</v>
      </c>
      <c r="E5" s="19" t="n">
        <v>4.7</v>
      </c>
      <c r="F5" s="20" t="n">
        <v>2</v>
      </c>
      <c r="G5" s="19" t="n">
        <v>-2.7</v>
      </c>
      <c r="H5" s="5" t="s">
        <v>79</v>
      </c>
      <c r="I5" s="21" t="s">
        <v>75</v>
      </c>
      <c r="J5" s="22" t="s">
        <v>80</v>
      </c>
      <c r="K5" s="5" t="s">
        <v>76</v>
      </c>
    </row>
    <row r="6" customFormat="false" ht="15" hidden="false" customHeight="false" outlineLevel="0" collapsed="false">
      <c r="A6" s="5" t="s">
        <v>71</v>
      </c>
      <c r="B6" s="5" t="s">
        <v>81</v>
      </c>
      <c r="C6" s="5" t="s">
        <v>82</v>
      </c>
      <c r="D6" s="5" t="s">
        <v>82</v>
      </c>
      <c r="E6" s="19" t="n">
        <v>3.45</v>
      </c>
      <c r="F6" s="20" t="n">
        <v>4</v>
      </c>
      <c r="G6" s="19" t="n">
        <v>0.55</v>
      </c>
      <c r="H6" s="5" t="s">
        <v>83</v>
      </c>
      <c r="I6" s="21" t="s">
        <v>75</v>
      </c>
      <c r="J6" s="21" t="s">
        <v>75</v>
      </c>
      <c r="K6" s="5" t="s">
        <v>76</v>
      </c>
    </row>
    <row r="7" customFormat="false" ht="15" hidden="false" customHeight="false" outlineLevel="0" collapsed="false">
      <c r="A7" s="5" t="s">
        <v>71</v>
      </c>
      <c r="B7" s="5" t="s">
        <v>84</v>
      </c>
      <c r="C7" s="5" t="s">
        <v>85</v>
      </c>
      <c r="D7" s="5" t="s">
        <v>85</v>
      </c>
      <c r="E7" s="19" t="n">
        <v>2.72</v>
      </c>
      <c r="F7" s="20" t="n">
        <v>1</v>
      </c>
      <c r="G7" s="19" t="n">
        <v>-1.72</v>
      </c>
      <c r="H7" s="5" t="s">
        <v>86</v>
      </c>
      <c r="I7" s="21" t="s">
        <v>75</v>
      </c>
      <c r="J7" s="22" t="s">
        <v>80</v>
      </c>
      <c r="K7" s="5" t="s">
        <v>76</v>
      </c>
    </row>
    <row r="8" customFormat="false" ht="15" hidden="false" customHeight="false" outlineLevel="0" collapsed="false">
      <c r="A8" s="5" t="s">
        <v>87</v>
      </c>
      <c r="B8" s="5" t="s">
        <v>88</v>
      </c>
      <c r="C8" s="5" t="s">
        <v>89</v>
      </c>
      <c r="D8" s="5" t="s">
        <v>88</v>
      </c>
      <c r="E8" s="19" t="n">
        <v>6.47</v>
      </c>
      <c r="F8" s="20" t="n">
        <v>1</v>
      </c>
      <c r="G8" s="19" t="n">
        <v>-5.47</v>
      </c>
      <c r="H8" s="5" t="s">
        <v>90</v>
      </c>
      <c r="I8" s="21" t="s">
        <v>75</v>
      </c>
      <c r="J8" s="22" t="s">
        <v>80</v>
      </c>
      <c r="K8" s="5" t="s">
        <v>76</v>
      </c>
    </row>
    <row r="9" customFormat="false" ht="15" hidden="false" customHeight="false" outlineLevel="0" collapsed="false">
      <c r="A9" s="5" t="s">
        <v>87</v>
      </c>
      <c r="B9" s="5" t="s">
        <v>91</v>
      </c>
      <c r="C9" s="5" t="s">
        <v>92</v>
      </c>
      <c r="D9" s="5" t="s">
        <v>91</v>
      </c>
      <c r="E9" s="19" t="n">
        <v>2.92</v>
      </c>
      <c r="F9" s="20" t="n">
        <v>-4</v>
      </c>
      <c r="G9" s="19" t="n">
        <v>-6.92</v>
      </c>
      <c r="H9" s="5" t="s">
        <v>93</v>
      </c>
      <c r="I9" s="22" t="s">
        <v>80</v>
      </c>
      <c r="J9" s="22" t="s">
        <v>80</v>
      </c>
      <c r="K9" s="5" t="s">
        <v>76</v>
      </c>
    </row>
    <row r="10" customFormat="false" ht="15" hidden="false" customHeight="false" outlineLevel="0" collapsed="false">
      <c r="A10" s="5" t="s">
        <v>87</v>
      </c>
      <c r="B10" s="5" t="s">
        <v>94</v>
      </c>
      <c r="C10" s="5" t="s">
        <v>95</v>
      </c>
      <c r="D10" s="5" t="s">
        <v>94</v>
      </c>
      <c r="E10" s="19" t="n">
        <v>3.43</v>
      </c>
      <c r="F10" s="20" t="n">
        <v>9</v>
      </c>
      <c r="G10" s="19" t="n">
        <v>5.57</v>
      </c>
      <c r="H10" s="5" t="s">
        <v>96</v>
      </c>
      <c r="I10" s="21" t="s">
        <v>75</v>
      </c>
      <c r="J10" s="21" t="s">
        <v>75</v>
      </c>
      <c r="K10" s="5" t="s">
        <v>76</v>
      </c>
    </row>
    <row r="11" customFormat="false" ht="15" hidden="false" customHeight="false" outlineLevel="0" collapsed="false">
      <c r="A11" s="5" t="s">
        <v>87</v>
      </c>
      <c r="B11" s="5" t="s">
        <v>97</v>
      </c>
      <c r="C11" s="5" t="s">
        <v>98</v>
      </c>
      <c r="D11" s="5" t="s">
        <v>97</v>
      </c>
      <c r="E11" s="19" t="n">
        <v>2.67</v>
      </c>
      <c r="F11" s="20" t="n">
        <v>2</v>
      </c>
      <c r="G11" s="19" t="n">
        <v>-0.67</v>
      </c>
      <c r="H11" s="5" t="s">
        <v>79</v>
      </c>
      <c r="I11" s="21" t="s">
        <v>75</v>
      </c>
      <c r="J11" s="22" t="s">
        <v>80</v>
      </c>
      <c r="K11" s="5" t="s">
        <v>76</v>
      </c>
    </row>
    <row r="12" customFormat="false" ht="15" hidden="false" customHeight="false" outlineLevel="0" collapsed="false">
      <c r="A12" s="5" t="s">
        <v>87</v>
      </c>
      <c r="B12" s="5" t="s">
        <v>99</v>
      </c>
      <c r="C12" s="5" t="s">
        <v>100</v>
      </c>
      <c r="D12" s="5" t="s">
        <v>100</v>
      </c>
      <c r="E12" s="19" t="n">
        <v>2.92</v>
      </c>
      <c r="F12" s="20" t="n">
        <v>-1</v>
      </c>
      <c r="G12" s="19" t="n">
        <v>-3.92</v>
      </c>
      <c r="H12" s="5" t="s">
        <v>101</v>
      </c>
      <c r="I12" s="22" t="s">
        <v>80</v>
      </c>
      <c r="J12" s="22" t="s">
        <v>80</v>
      </c>
      <c r="K12" s="5" t="s">
        <v>76</v>
      </c>
    </row>
    <row r="13" customFormat="false" ht="15" hidden="false" customHeight="false" outlineLevel="0" collapsed="false">
      <c r="A13" s="5" t="s">
        <v>87</v>
      </c>
      <c r="B13" s="5" t="s">
        <v>102</v>
      </c>
      <c r="C13" s="5" t="s">
        <v>103</v>
      </c>
      <c r="D13" s="5" t="s">
        <v>102</v>
      </c>
      <c r="E13" s="19" t="n">
        <v>5.05</v>
      </c>
      <c r="F13" s="20" t="n">
        <v>-1</v>
      </c>
      <c r="G13" s="19" t="n">
        <v>-6.05</v>
      </c>
      <c r="H13" s="5" t="s">
        <v>104</v>
      </c>
      <c r="I13" s="22" t="s">
        <v>80</v>
      </c>
      <c r="J13" s="22" t="s">
        <v>80</v>
      </c>
      <c r="K13" s="5" t="s">
        <v>76</v>
      </c>
    </row>
    <row r="14" customFormat="false" ht="15" hidden="false" customHeight="false" outlineLevel="0" collapsed="false">
      <c r="A14" s="5" t="s">
        <v>87</v>
      </c>
      <c r="B14" s="5" t="s">
        <v>105</v>
      </c>
      <c r="C14" s="5" t="s">
        <v>106</v>
      </c>
      <c r="D14" s="5" t="s">
        <v>105</v>
      </c>
      <c r="E14" s="19" t="n">
        <v>6.18</v>
      </c>
      <c r="F14" s="20" t="n">
        <v>7</v>
      </c>
      <c r="G14" s="19" t="n">
        <v>0.82</v>
      </c>
      <c r="H14" s="5" t="s">
        <v>107</v>
      </c>
      <c r="I14" s="21" t="s">
        <v>75</v>
      </c>
      <c r="J14" s="21" t="s">
        <v>75</v>
      </c>
      <c r="K14" s="5" t="s">
        <v>76</v>
      </c>
    </row>
    <row r="15" customFormat="false" ht="15" hidden="false" customHeight="false" outlineLevel="0" collapsed="false">
      <c r="A15" s="5" t="s">
        <v>87</v>
      </c>
      <c r="B15" s="5" t="s">
        <v>108</v>
      </c>
      <c r="C15" s="5" t="s">
        <v>109</v>
      </c>
      <c r="D15" s="5" t="s">
        <v>109</v>
      </c>
      <c r="E15" s="19" t="n">
        <v>5.88</v>
      </c>
      <c r="F15" s="20" t="n">
        <v>2</v>
      </c>
      <c r="G15" s="19" t="n">
        <v>-3.88</v>
      </c>
      <c r="H15" s="5" t="s">
        <v>110</v>
      </c>
      <c r="I15" s="21" t="s">
        <v>75</v>
      </c>
      <c r="J15" s="22" t="s">
        <v>80</v>
      </c>
      <c r="K15" s="5" t="s">
        <v>76</v>
      </c>
    </row>
    <row r="16" customFormat="false" ht="15" hidden="false" customHeight="false" outlineLevel="0" collapsed="false">
      <c r="A16" s="5" t="s">
        <v>111</v>
      </c>
      <c r="B16" s="5" t="s">
        <v>112</v>
      </c>
      <c r="C16" s="5" t="s">
        <v>113</v>
      </c>
      <c r="D16" s="5" t="s">
        <v>112</v>
      </c>
      <c r="E16" s="19" t="n">
        <v>3.81</v>
      </c>
      <c r="F16" s="20" t="n">
        <v>0</v>
      </c>
      <c r="G16" s="19" t="n">
        <v>-3.81</v>
      </c>
      <c r="H16" s="5" t="s">
        <v>114</v>
      </c>
      <c r="I16" s="22" t="s">
        <v>80</v>
      </c>
      <c r="J16" s="22" t="s">
        <v>80</v>
      </c>
      <c r="K16" s="5" t="s">
        <v>76</v>
      </c>
    </row>
    <row r="17" customFormat="false" ht="15" hidden="false" customHeight="false" outlineLevel="0" collapsed="false">
      <c r="A17" s="5" t="s">
        <v>111</v>
      </c>
      <c r="B17" s="5" t="s">
        <v>115</v>
      </c>
      <c r="C17" s="5" t="s">
        <v>116</v>
      </c>
      <c r="D17" s="5" t="s">
        <v>115</v>
      </c>
      <c r="E17" s="19" t="n">
        <v>3</v>
      </c>
      <c r="F17" s="20" t="n">
        <v>3</v>
      </c>
      <c r="G17" s="19" t="n">
        <v>0</v>
      </c>
      <c r="H17" s="5" t="s">
        <v>117</v>
      </c>
      <c r="I17" s="21" t="s">
        <v>75</v>
      </c>
      <c r="J17" s="21" t="s">
        <v>75</v>
      </c>
      <c r="K17" s="5" t="s">
        <v>76</v>
      </c>
    </row>
    <row r="18" customFormat="false" ht="15" hidden="false" customHeight="false" outlineLevel="0" collapsed="false">
      <c r="A18" s="5" t="s">
        <v>111</v>
      </c>
      <c r="B18" s="5" t="s">
        <v>118</v>
      </c>
      <c r="C18" s="5" t="s">
        <v>119</v>
      </c>
      <c r="D18" s="5" t="s">
        <v>119</v>
      </c>
      <c r="E18" s="19" t="n">
        <v>3.56</v>
      </c>
      <c r="F18" s="20" t="n">
        <v>-1</v>
      </c>
      <c r="G18" s="19" t="n">
        <v>-4.56</v>
      </c>
      <c r="H18" s="5" t="s">
        <v>101</v>
      </c>
      <c r="I18" s="22" t="s">
        <v>80</v>
      </c>
      <c r="J18" s="22" t="s">
        <v>80</v>
      </c>
      <c r="K18" s="5" t="s">
        <v>76</v>
      </c>
    </row>
    <row r="19" customFormat="false" ht="15" hidden="false" customHeight="false" outlineLevel="0" collapsed="false">
      <c r="A19" s="5" t="s">
        <v>111</v>
      </c>
      <c r="B19" s="5" t="s">
        <v>120</v>
      </c>
      <c r="C19" s="5" t="s">
        <v>121</v>
      </c>
      <c r="D19" s="5" t="s">
        <v>121</v>
      </c>
      <c r="E19" s="19" t="n">
        <v>3.98</v>
      </c>
      <c r="F19" s="20" t="n">
        <v>-2</v>
      </c>
      <c r="G19" s="19" t="n">
        <v>-5.98</v>
      </c>
      <c r="H19" s="5" t="s">
        <v>122</v>
      </c>
      <c r="I19" s="22" t="s">
        <v>80</v>
      </c>
      <c r="J19" s="22" t="s">
        <v>80</v>
      </c>
      <c r="K19" s="5" t="s">
        <v>76</v>
      </c>
    </row>
    <row r="20" customFormat="false" ht="15" hidden="false" customHeight="false" outlineLevel="0" collapsed="false">
      <c r="A20" s="5" t="s">
        <v>111</v>
      </c>
      <c r="B20" s="5" t="s">
        <v>123</v>
      </c>
      <c r="C20" s="5" t="s">
        <v>124</v>
      </c>
      <c r="D20" s="5" t="s">
        <v>123</v>
      </c>
      <c r="E20" s="19" t="n">
        <v>4.41</v>
      </c>
      <c r="F20" s="20" t="n">
        <v>5</v>
      </c>
      <c r="G20" s="19" t="n">
        <v>0.59</v>
      </c>
      <c r="H20" s="5" t="s">
        <v>125</v>
      </c>
      <c r="I20" s="21" t="s">
        <v>75</v>
      </c>
      <c r="J20" s="21" t="s">
        <v>75</v>
      </c>
      <c r="K20" s="5" t="s">
        <v>76</v>
      </c>
    </row>
    <row r="21" customFormat="false" ht="15" hidden="false" customHeight="false" outlineLevel="0" collapsed="false">
      <c r="A21" s="5" t="s">
        <v>111</v>
      </c>
      <c r="B21" s="5" t="s">
        <v>126</v>
      </c>
      <c r="C21" s="5" t="s">
        <v>127</v>
      </c>
      <c r="D21" s="5" t="s">
        <v>126</v>
      </c>
      <c r="E21" s="19" t="n">
        <v>8.13</v>
      </c>
      <c r="F21" s="20" t="n">
        <v>8</v>
      </c>
      <c r="G21" s="19" t="n">
        <v>-0.130000000000001</v>
      </c>
      <c r="H21" s="5" t="s">
        <v>128</v>
      </c>
      <c r="I21" s="21" t="s">
        <v>75</v>
      </c>
      <c r="J21" s="22" t="s">
        <v>80</v>
      </c>
      <c r="K21" s="5" t="s">
        <v>76</v>
      </c>
    </row>
    <row r="22" customFormat="false" ht="15" hidden="false" customHeight="false" outlineLevel="0" collapsed="false">
      <c r="A22" s="5" t="s">
        <v>111</v>
      </c>
      <c r="B22" s="5" t="s">
        <v>129</v>
      </c>
      <c r="C22" s="5" t="s">
        <v>130</v>
      </c>
      <c r="D22" s="5" t="s">
        <v>130</v>
      </c>
      <c r="E22" s="19" t="n">
        <v>5.6</v>
      </c>
      <c r="F22" s="20" t="n">
        <v>1</v>
      </c>
      <c r="G22" s="19" t="n">
        <v>-4.6</v>
      </c>
      <c r="H22" s="5" t="s">
        <v>131</v>
      </c>
      <c r="I22" s="21" t="s">
        <v>75</v>
      </c>
      <c r="J22" s="22" t="s">
        <v>80</v>
      </c>
      <c r="K22" s="5" t="s">
        <v>76</v>
      </c>
    </row>
    <row r="23" customFormat="false" ht="15" hidden="false" customHeight="false" outlineLevel="0" collapsed="false">
      <c r="A23" s="5" t="s">
        <v>111</v>
      </c>
      <c r="B23" s="5" t="s">
        <v>132</v>
      </c>
      <c r="C23" s="5" t="s">
        <v>133</v>
      </c>
      <c r="D23" s="5" t="s">
        <v>132</v>
      </c>
      <c r="E23" s="19" t="n">
        <v>2.52</v>
      </c>
      <c r="F23" s="20" t="n">
        <v>7</v>
      </c>
      <c r="G23" s="19" t="n">
        <v>4.48</v>
      </c>
      <c r="H23" s="5" t="s">
        <v>134</v>
      </c>
      <c r="I23" s="21" t="s">
        <v>75</v>
      </c>
      <c r="J23" s="21" t="s">
        <v>75</v>
      </c>
      <c r="K23" s="5" t="s">
        <v>76</v>
      </c>
    </row>
    <row r="24" customFormat="false" ht="15" hidden="false" customHeight="false" outlineLevel="0" collapsed="false">
      <c r="A24" s="5" t="s">
        <v>135</v>
      </c>
      <c r="B24" s="5" t="s">
        <v>136</v>
      </c>
      <c r="C24" s="5" t="s">
        <v>137</v>
      </c>
      <c r="D24" s="5" t="s">
        <v>137</v>
      </c>
      <c r="E24" s="19" t="n">
        <v>2.54</v>
      </c>
      <c r="F24" s="20" t="n">
        <v>2</v>
      </c>
      <c r="G24" s="19" t="n">
        <v>-0.54</v>
      </c>
      <c r="H24" s="5" t="s">
        <v>138</v>
      </c>
      <c r="I24" s="21" t="s">
        <v>75</v>
      </c>
      <c r="J24" s="22" t="s">
        <v>80</v>
      </c>
      <c r="K24" s="5" t="s">
        <v>76</v>
      </c>
    </row>
    <row r="25" customFormat="false" ht="15" hidden="false" customHeight="false" outlineLevel="0" collapsed="false">
      <c r="A25" s="5" t="s">
        <v>135</v>
      </c>
      <c r="B25" s="5" t="s">
        <v>139</v>
      </c>
      <c r="C25" s="5" t="s">
        <v>140</v>
      </c>
      <c r="D25" s="5" t="s">
        <v>140</v>
      </c>
      <c r="E25" s="19" t="n">
        <v>4</v>
      </c>
      <c r="F25" s="20" t="n">
        <v>2</v>
      </c>
      <c r="G25" s="19" t="n">
        <v>-2</v>
      </c>
      <c r="H25" s="5" t="s">
        <v>141</v>
      </c>
      <c r="I25" s="21" t="s">
        <v>75</v>
      </c>
      <c r="J25" s="22" t="s">
        <v>80</v>
      </c>
      <c r="K25" s="5" t="s">
        <v>76</v>
      </c>
    </row>
    <row r="26" customFormat="false" ht="15" hidden="false" customHeight="false" outlineLevel="0" collapsed="false">
      <c r="A26" s="5" t="s">
        <v>135</v>
      </c>
      <c r="B26" s="5" t="s">
        <v>142</v>
      </c>
      <c r="C26" s="5" t="s">
        <v>143</v>
      </c>
      <c r="D26" s="5" t="s">
        <v>142</v>
      </c>
      <c r="E26" s="19" t="n">
        <v>5.73</v>
      </c>
      <c r="F26" s="20" t="n">
        <v>6</v>
      </c>
      <c r="G26" s="19" t="n">
        <v>0.27</v>
      </c>
      <c r="H26" s="5" t="s">
        <v>144</v>
      </c>
      <c r="I26" s="21" t="s">
        <v>75</v>
      </c>
      <c r="J26" s="21" t="s">
        <v>75</v>
      </c>
      <c r="K26" s="5" t="s">
        <v>76</v>
      </c>
    </row>
    <row r="27" customFormat="false" ht="15" hidden="false" customHeight="false" outlineLevel="0" collapsed="false">
      <c r="A27" s="5" t="s">
        <v>135</v>
      </c>
      <c r="B27" s="5" t="s">
        <v>145</v>
      </c>
      <c r="C27" s="5" t="s">
        <v>146</v>
      </c>
      <c r="D27" s="5" t="s">
        <v>145</v>
      </c>
      <c r="E27" s="19" t="n">
        <v>4.21</v>
      </c>
      <c r="F27" s="20" t="n">
        <v>3</v>
      </c>
      <c r="G27" s="19" t="n">
        <v>-1.21</v>
      </c>
      <c r="H27" s="5" t="s">
        <v>117</v>
      </c>
      <c r="I27" s="21" t="s">
        <v>75</v>
      </c>
      <c r="J27" s="22" t="s">
        <v>80</v>
      </c>
      <c r="K27" s="5" t="s">
        <v>76</v>
      </c>
    </row>
    <row r="28" customFormat="false" ht="15" hidden="false" customHeight="false" outlineLevel="0" collapsed="false">
      <c r="A28" s="5" t="s">
        <v>147</v>
      </c>
      <c r="B28" s="5" t="s">
        <v>148</v>
      </c>
      <c r="C28" s="5" t="s">
        <v>149</v>
      </c>
      <c r="D28" s="5" t="s">
        <v>149</v>
      </c>
      <c r="E28" s="19" t="n">
        <v>2.81</v>
      </c>
      <c r="F28" s="20" t="n">
        <v>-2</v>
      </c>
      <c r="G28" s="19" t="n">
        <v>-4.81</v>
      </c>
      <c r="H28" s="5" t="s">
        <v>150</v>
      </c>
      <c r="I28" s="22" t="s">
        <v>80</v>
      </c>
      <c r="J28" s="22" t="s">
        <v>80</v>
      </c>
      <c r="K28" s="5" t="s">
        <v>76</v>
      </c>
    </row>
    <row r="29" customFormat="false" ht="15" hidden="false" customHeight="false" outlineLevel="0" collapsed="false">
      <c r="A29" s="5" t="s">
        <v>147</v>
      </c>
      <c r="B29" s="5" t="s">
        <v>151</v>
      </c>
      <c r="C29" s="5" t="s">
        <v>152</v>
      </c>
      <c r="D29" s="5" t="s">
        <v>151</v>
      </c>
      <c r="E29" s="19" t="n">
        <v>2.96</v>
      </c>
      <c r="F29" s="20" t="n">
        <v>5</v>
      </c>
      <c r="G29" s="19" t="n">
        <v>2.04</v>
      </c>
      <c r="H29" s="5" t="s">
        <v>153</v>
      </c>
      <c r="I29" s="21" t="s">
        <v>75</v>
      </c>
      <c r="J29" s="21" t="s">
        <v>75</v>
      </c>
      <c r="K29" s="5" t="s">
        <v>76</v>
      </c>
    </row>
    <row r="30" customFormat="false" ht="15" hidden="false" customHeight="false" outlineLevel="0" collapsed="false">
      <c r="A30" s="5" t="s">
        <v>147</v>
      </c>
      <c r="B30" s="5" t="s">
        <v>154</v>
      </c>
      <c r="C30" s="5" t="s">
        <v>155</v>
      </c>
      <c r="D30" s="5" t="s">
        <v>155</v>
      </c>
      <c r="E30" s="19" t="n">
        <v>3.08</v>
      </c>
      <c r="F30" s="20" t="n">
        <v>5</v>
      </c>
      <c r="G30" s="19" t="n">
        <v>1.92</v>
      </c>
      <c r="H30" s="5" t="s">
        <v>156</v>
      </c>
      <c r="I30" s="21" t="s">
        <v>75</v>
      </c>
      <c r="J30" s="21" t="s">
        <v>75</v>
      </c>
      <c r="K30" s="5" t="s">
        <v>76</v>
      </c>
    </row>
    <row r="31" customFormat="false" ht="15" hidden="false" customHeight="false" outlineLevel="0" collapsed="false">
      <c r="A31" s="5" t="s">
        <v>147</v>
      </c>
      <c r="B31" s="5" t="s">
        <v>157</v>
      </c>
      <c r="C31" s="5" t="s">
        <v>158</v>
      </c>
      <c r="D31" s="5" t="s">
        <v>158</v>
      </c>
      <c r="E31" s="19" t="n">
        <v>3.28</v>
      </c>
      <c r="F31" s="20" t="n">
        <v>0</v>
      </c>
      <c r="G31" s="19" t="n">
        <v>-3.28</v>
      </c>
      <c r="H31" s="5" t="s">
        <v>159</v>
      </c>
      <c r="I31" s="22" t="s">
        <v>80</v>
      </c>
      <c r="J31" s="22" t="s">
        <v>80</v>
      </c>
      <c r="K31" s="5" t="s">
        <v>76</v>
      </c>
    </row>
    <row r="32" customFormat="false" ht="15" hidden="false" customHeight="false" outlineLevel="0" collapsed="false">
      <c r="A32" s="5" t="s">
        <v>147</v>
      </c>
      <c r="B32" s="5" t="s">
        <v>160</v>
      </c>
      <c r="C32" s="5" t="s">
        <v>161</v>
      </c>
      <c r="D32" s="5" t="s">
        <v>160</v>
      </c>
      <c r="E32" s="19" t="n">
        <v>2.73</v>
      </c>
      <c r="F32" s="20" t="n">
        <v>6</v>
      </c>
      <c r="G32" s="19" t="n">
        <v>3.27</v>
      </c>
      <c r="H32" s="5" t="s">
        <v>162</v>
      </c>
      <c r="I32" s="21" t="s">
        <v>75</v>
      </c>
      <c r="J32" s="21" t="s">
        <v>75</v>
      </c>
      <c r="K32" s="5" t="s">
        <v>76</v>
      </c>
    </row>
    <row r="33" customFormat="false" ht="15" hidden="false" customHeight="false" outlineLevel="0" collapsed="false">
      <c r="A33" s="5" t="s">
        <v>147</v>
      </c>
      <c r="B33" s="5" t="s">
        <v>163</v>
      </c>
      <c r="C33" s="5" t="s">
        <v>164</v>
      </c>
      <c r="D33" s="5" t="s">
        <v>163</v>
      </c>
      <c r="E33" s="19" t="n">
        <v>4.09</v>
      </c>
      <c r="F33" s="20" t="n">
        <v>12</v>
      </c>
      <c r="G33" s="19" t="n">
        <v>7.91</v>
      </c>
      <c r="H33" s="5" t="s">
        <v>165</v>
      </c>
      <c r="I33" s="21" t="s">
        <v>75</v>
      </c>
      <c r="J33" s="21" t="s">
        <v>75</v>
      </c>
      <c r="K33" s="5" t="s">
        <v>76</v>
      </c>
    </row>
    <row r="34" customFormat="false" ht="15" hidden="false" customHeight="false" outlineLevel="0" collapsed="false">
      <c r="A34" s="5" t="s">
        <v>166</v>
      </c>
      <c r="B34" s="5" t="s">
        <v>167</v>
      </c>
      <c r="C34" s="5" t="s">
        <v>168</v>
      </c>
      <c r="D34" s="5" t="s">
        <v>169</v>
      </c>
      <c r="E34" s="19" t="n">
        <v>2.22</v>
      </c>
      <c r="F34" s="20" t="n">
        <v>-1</v>
      </c>
      <c r="G34" s="19" t="n">
        <v>-3.22</v>
      </c>
      <c r="H34" s="5" t="s">
        <v>86</v>
      </c>
      <c r="I34" s="22" t="s">
        <v>80</v>
      </c>
      <c r="J34" s="22" t="s">
        <v>80</v>
      </c>
      <c r="K34" s="5" t="s">
        <v>76</v>
      </c>
    </row>
    <row r="35" customFormat="false" ht="15" hidden="false" customHeight="false" outlineLevel="0" collapsed="false">
      <c r="A35" s="5" t="s">
        <v>170</v>
      </c>
      <c r="B35" s="5" t="s">
        <v>171</v>
      </c>
      <c r="C35" s="5" t="s">
        <v>172</v>
      </c>
      <c r="D35" s="5" t="s">
        <v>172</v>
      </c>
      <c r="E35" s="19" t="n">
        <v>2.02</v>
      </c>
      <c r="F35" s="20" t="n">
        <v>6</v>
      </c>
      <c r="G35" s="19" t="n">
        <v>3.98</v>
      </c>
      <c r="H35" s="5" t="s">
        <v>173</v>
      </c>
      <c r="I35" s="21" t="s">
        <v>75</v>
      </c>
      <c r="J35" s="21" t="s">
        <v>75</v>
      </c>
      <c r="K35" s="5" t="s">
        <v>76</v>
      </c>
    </row>
    <row r="36" customFormat="false" ht="15" hidden="false" customHeight="false" outlineLevel="0" collapsed="false">
      <c r="A36" s="5" t="s">
        <v>170</v>
      </c>
      <c r="B36" s="5" t="s">
        <v>174</v>
      </c>
      <c r="C36" s="5" t="s">
        <v>175</v>
      </c>
      <c r="D36" s="5" t="s">
        <v>174</v>
      </c>
      <c r="E36" s="19" t="n">
        <v>8.94</v>
      </c>
      <c r="F36" s="20" t="n">
        <v>0</v>
      </c>
      <c r="G36" s="19" t="n">
        <v>-8.94</v>
      </c>
      <c r="H36" s="5" t="s">
        <v>176</v>
      </c>
      <c r="I36" s="22" t="s">
        <v>80</v>
      </c>
      <c r="J36" s="22" t="s">
        <v>80</v>
      </c>
      <c r="K36" s="5" t="s">
        <v>76</v>
      </c>
    </row>
    <row r="37" customFormat="false" ht="15" hidden="false" customHeight="false" outlineLevel="0" collapsed="false">
      <c r="A37" s="5" t="s">
        <v>170</v>
      </c>
      <c r="B37" s="5" t="s">
        <v>177</v>
      </c>
      <c r="C37" s="5" t="s">
        <v>178</v>
      </c>
      <c r="D37" s="5" t="s">
        <v>177</v>
      </c>
      <c r="E37" s="19" t="n">
        <v>2.24</v>
      </c>
      <c r="F37" s="20" t="n">
        <v>-5</v>
      </c>
      <c r="G37" s="19" t="n">
        <v>-7.24</v>
      </c>
      <c r="H37" s="5" t="s">
        <v>179</v>
      </c>
      <c r="I37" s="22" t="s">
        <v>80</v>
      </c>
      <c r="J37" s="22" t="s">
        <v>80</v>
      </c>
      <c r="K37" s="5" t="s">
        <v>76</v>
      </c>
    </row>
    <row r="38" customFormat="false" ht="15" hidden="false" customHeight="false" outlineLevel="0" collapsed="false">
      <c r="A38" s="5" t="s">
        <v>180</v>
      </c>
      <c r="B38" s="5" t="s">
        <v>181</v>
      </c>
      <c r="C38" s="5" t="s">
        <v>182</v>
      </c>
      <c r="D38" s="5" t="s">
        <v>181</v>
      </c>
      <c r="E38" s="19" t="n">
        <v>2.76</v>
      </c>
      <c r="F38" s="20" t="n">
        <v>2</v>
      </c>
      <c r="G38" s="19" t="n">
        <v>-0.76</v>
      </c>
      <c r="H38" s="5" t="s">
        <v>79</v>
      </c>
      <c r="I38" s="21" t="s">
        <v>75</v>
      </c>
      <c r="J38" s="22" t="s">
        <v>80</v>
      </c>
      <c r="K38" s="5" t="s">
        <v>76</v>
      </c>
    </row>
    <row r="39" customFormat="false" ht="15" hidden="false" customHeight="false" outlineLevel="0" collapsed="false">
      <c r="A39" s="5" t="s">
        <v>180</v>
      </c>
      <c r="B39" s="5" t="s">
        <v>183</v>
      </c>
      <c r="C39" s="5" t="s">
        <v>184</v>
      </c>
      <c r="D39" s="5" t="s">
        <v>183</v>
      </c>
      <c r="E39" s="19" t="n">
        <v>6</v>
      </c>
      <c r="F39" s="20" t="n">
        <v>6</v>
      </c>
      <c r="G39" s="19" t="n">
        <v>0</v>
      </c>
      <c r="H39" s="5" t="s">
        <v>185</v>
      </c>
      <c r="I39" s="21" t="s">
        <v>75</v>
      </c>
      <c r="J39" s="21" t="s">
        <v>75</v>
      </c>
      <c r="K39" s="5" t="s">
        <v>76</v>
      </c>
    </row>
    <row r="40" customFormat="false" ht="15" hidden="false" customHeight="false" outlineLevel="0" collapsed="false">
      <c r="A40" s="5" t="s">
        <v>180</v>
      </c>
      <c r="B40" s="5" t="s">
        <v>186</v>
      </c>
      <c r="C40" s="5" t="s">
        <v>187</v>
      </c>
      <c r="D40" s="5" t="s">
        <v>186</v>
      </c>
      <c r="E40" s="19" t="n">
        <v>2.34</v>
      </c>
      <c r="F40" s="20" t="n">
        <v>-2</v>
      </c>
      <c r="G40" s="19" t="n">
        <v>-4.34</v>
      </c>
      <c r="H40" s="5" t="s">
        <v>188</v>
      </c>
      <c r="I40" s="22" t="s">
        <v>80</v>
      </c>
      <c r="J40" s="22" t="s">
        <v>80</v>
      </c>
      <c r="K40" s="5" t="s">
        <v>76</v>
      </c>
    </row>
    <row r="41" customFormat="false" ht="15" hidden="false" customHeight="false" outlineLevel="0" collapsed="false">
      <c r="A41" s="5" t="s">
        <v>189</v>
      </c>
      <c r="B41" s="5" t="s">
        <v>190</v>
      </c>
      <c r="C41" s="5" t="s">
        <v>191</v>
      </c>
      <c r="D41" s="5" t="s">
        <v>191</v>
      </c>
      <c r="E41" s="19" t="n">
        <v>3.7</v>
      </c>
      <c r="F41" s="20" t="n">
        <v>2</v>
      </c>
      <c r="G41" s="19" t="n">
        <v>-1.7</v>
      </c>
      <c r="H41" s="5" t="s">
        <v>138</v>
      </c>
      <c r="I41" s="21" t="s">
        <v>75</v>
      </c>
      <c r="J41" s="22" t="s">
        <v>80</v>
      </c>
      <c r="K41" s="5" t="s">
        <v>76</v>
      </c>
    </row>
    <row r="42" customFormat="false" ht="15" hidden="false" customHeight="false" outlineLevel="0" collapsed="false">
      <c r="A42" s="5" t="s">
        <v>189</v>
      </c>
      <c r="B42" s="5" t="s">
        <v>192</v>
      </c>
      <c r="C42" s="5" t="s">
        <v>193</v>
      </c>
      <c r="D42" s="5" t="s">
        <v>192</v>
      </c>
      <c r="E42" s="19" t="n">
        <v>5.63</v>
      </c>
      <c r="F42" s="20" t="n">
        <v>2</v>
      </c>
      <c r="G42" s="19" t="n">
        <v>-3.63</v>
      </c>
      <c r="H42" s="5" t="s">
        <v>122</v>
      </c>
      <c r="I42" s="21" t="s">
        <v>75</v>
      </c>
      <c r="J42" s="22" t="s">
        <v>80</v>
      </c>
      <c r="K42" s="5" t="s">
        <v>76</v>
      </c>
    </row>
    <row r="43" customFormat="false" ht="15" hidden="false" customHeight="false" outlineLevel="0" collapsed="false">
      <c r="A43" s="5" t="s">
        <v>189</v>
      </c>
      <c r="B43" s="5" t="s">
        <v>194</v>
      </c>
      <c r="C43" s="5" t="s">
        <v>195</v>
      </c>
      <c r="D43" s="5" t="s">
        <v>194</v>
      </c>
      <c r="E43" s="19" t="n">
        <v>2.31</v>
      </c>
      <c r="F43" s="20" t="n">
        <v>-3</v>
      </c>
      <c r="G43" s="19" t="n">
        <v>-5.31</v>
      </c>
      <c r="H43" s="5" t="s">
        <v>196</v>
      </c>
      <c r="I43" s="22" t="s">
        <v>80</v>
      </c>
      <c r="J43" s="22" t="s">
        <v>80</v>
      </c>
      <c r="K43" s="5" t="s">
        <v>76</v>
      </c>
    </row>
    <row r="44" customFormat="false" ht="15" hidden="false" customHeight="false" outlineLevel="0" collapsed="false">
      <c r="A44" s="5" t="s">
        <v>189</v>
      </c>
      <c r="B44" s="5" t="s">
        <v>197</v>
      </c>
      <c r="C44" s="5" t="s">
        <v>198</v>
      </c>
      <c r="D44" s="5" t="s">
        <v>197</v>
      </c>
      <c r="E44" s="19" t="n">
        <v>4.87</v>
      </c>
      <c r="F44" s="20" t="n">
        <v>6</v>
      </c>
      <c r="G44" s="19" t="n">
        <v>1.13</v>
      </c>
      <c r="H44" s="5" t="s">
        <v>144</v>
      </c>
      <c r="I44" s="21" t="s">
        <v>75</v>
      </c>
      <c r="J44" s="21" t="s">
        <v>75</v>
      </c>
      <c r="K44" s="5" t="s">
        <v>76</v>
      </c>
    </row>
    <row r="45" customFormat="false" ht="15" hidden="false" customHeight="false" outlineLevel="0" collapsed="false">
      <c r="A45" s="5" t="s">
        <v>189</v>
      </c>
      <c r="B45" s="5" t="s">
        <v>199</v>
      </c>
      <c r="C45" s="5" t="s">
        <v>200</v>
      </c>
      <c r="D45" s="5" t="s">
        <v>199</v>
      </c>
      <c r="E45" s="19" t="n">
        <v>2.87</v>
      </c>
      <c r="F45" s="20" t="n">
        <v>2</v>
      </c>
      <c r="G45" s="19" t="n">
        <v>-0.87</v>
      </c>
      <c r="H45" s="5" t="s">
        <v>201</v>
      </c>
      <c r="I45" s="21" t="s">
        <v>75</v>
      </c>
      <c r="J45" s="22" t="s">
        <v>80</v>
      </c>
      <c r="K45" s="5" t="s">
        <v>76</v>
      </c>
    </row>
    <row r="46" customFormat="false" ht="15" hidden="false" customHeight="false" outlineLevel="0" collapsed="false">
      <c r="A46" s="5" t="s">
        <v>189</v>
      </c>
      <c r="B46" s="5" t="s">
        <v>202</v>
      </c>
      <c r="C46" s="5" t="s">
        <v>203</v>
      </c>
      <c r="D46" s="5" t="s">
        <v>202</v>
      </c>
      <c r="E46" s="19" t="n">
        <v>3.39</v>
      </c>
      <c r="F46" s="20" t="n">
        <v>0</v>
      </c>
      <c r="G46" s="19" t="n">
        <v>-3.39</v>
      </c>
      <c r="H46" s="5" t="s">
        <v>204</v>
      </c>
      <c r="I46" s="22" t="s">
        <v>80</v>
      </c>
      <c r="J46" s="22" t="s">
        <v>80</v>
      </c>
      <c r="K46" s="5" t="s">
        <v>76</v>
      </c>
    </row>
    <row r="47" customFormat="false" ht="15" hidden="false" customHeight="false" outlineLevel="0" collapsed="false">
      <c r="A47" s="5" t="s">
        <v>189</v>
      </c>
      <c r="B47" s="5" t="s">
        <v>205</v>
      </c>
      <c r="C47" s="5" t="s">
        <v>206</v>
      </c>
      <c r="D47" s="5" t="s">
        <v>206</v>
      </c>
      <c r="E47" s="19" t="n">
        <v>3.06</v>
      </c>
      <c r="F47" s="20" t="n">
        <v>3</v>
      </c>
      <c r="G47" s="19" t="n">
        <v>-0.0600000000000001</v>
      </c>
      <c r="H47" s="5" t="s">
        <v>196</v>
      </c>
      <c r="I47" s="21" t="s">
        <v>75</v>
      </c>
      <c r="J47" s="22" t="s">
        <v>80</v>
      </c>
      <c r="K47" s="5" t="s">
        <v>76</v>
      </c>
    </row>
    <row r="48" customFormat="false" ht="15" hidden="false" customHeight="false" outlineLevel="0" collapsed="false">
      <c r="A48" s="5" t="s">
        <v>189</v>
      </c>
      <c r="B48" s="5" t="s">
        <v>207</v>
      </c>
      <c r="C48" s="5" t="s">
        <v>208</v>
      </c>
      <c r="D48" s="5" t="s">
        <v>207</v>
      </c>
      <c r="E48" s="19" t="n">
        <v>2.05</v>
      </c>
      <c r="F48" s="20" t="n">
        <v>7</v>
      </c>
      <c r="G48" s="19" t="n">
        <v>4.95</v>
      </c>
      <c r="H48" s="5" t="s">
        <v>209</v>
      </c>
      <c r="I48" s="21" t="s">
        <v>75</v>
      </c>
      <c r="J48" s="21" t="s">
        <v>75</v>
      </c>
      <c r="K48" s="5" t="s">
        <v>76</v>
      </c>
    </row>
    <row r="49" customFormat="false" ht="15" hidden="false" customHeight="false" outlineLevel="0" collapsed="false">
      <c r="A49" s="5" t="s">
        <v>189</v>
      </c>
      <c r="B49" s="5" t="s">
        <v>210</v>
      </c>
      <c r="C49" s="5" t="s">
        <v>211</v>
      </c>
      <c r="D49" s="5" t="s">
        <v>210</v>
      </c>
      <c r="E49" s="19" t="n">
        <v>2.96</v>
      </c>
      <c r="F49" s="20" t="n">
        <v>1</v>
      </c>
      <c r="G49" s="19" t="n">
        <v>-1.96</v>
      </c>
      <c r="H49" s="5" t="s">
        <v>212</v>
      </c>
      <c r="I49" s="21" t="s">
        <v>75</v>
      </c>
      <c r="J49" s="22" t="s">
        <v>80</v>
      </c>
      <c r="K49" s="5" t="s">
        <v>76</v>
      </c>
    </row>
    <row r="50" customFormat="false" ht="15" hidden="false" customHeight="false" outlineLevel="0" collapsed="false">
      <c r="A50" s="5" t="s">
        <v>189</v>
      </c>
      <c r="B50" s="5" t="s">
        <v>213</v>
      </c>
      <c r="C50" s="5" t="s">
        <v>214</v>
      </c>
      <c r="D50" s="5" t="s">
        <v>213</v>
      </c>
      <c r="E50" s="19" t="n">
        <v>6.24</v>
      </c>
      <c r="F50" s="20" t="n">
        <v>5</v>
      </c>
      <c r="G50" s="19" t="n">
        <v>-1.24</v>
      </c>
      <c r="H50" s="5" t="s">
        <v>215</v>
      </c>
      <c r="I50" s="21" t="s">
        <v>75</v>
      </c>
      <c r="J50" s="22" t="s">
        <v>80</v>
      </c>
      <c r="K50" s="5" t="s">
        <v>76</v>
      </c>
    </row>
    <row r="52" customFormat="false" ht="15" hidden="false" customHeight="false" outlineLevel="0" collapsed="false">
      <c r="A52" s="23" t="s">
        <v>216</v>
      </c>
      <c r="I52" s="0" t="str">
        <f aca="false">COUNTIF(I4:I50,"SIM")&amp;"/"&amp;COUNTA(I4:I50)</f>
        <v>33/47</v>
      </c>
      <c r="J52" s="0" t="str">
        <f aca="false">COUNTIF(J4:J50,"SIM")&amp;"/"&amp;COUNTA(J4:J50)</f>
        <v>16/47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21"/>
  </cols>
  <sheetData>
    <row r="1" customFormat="false" ht="17.35" hidden="false" customHeight="fals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4" t="s">
        <v>26</v>
      </c>
      <c r="B3" s="4" t="s">
        <v>61</v>
      </c>
      <c r="C3" s="4" t="s">
        <v>62</v>
      </c>
      <c r="D3" s="4" t="s">
        <v>218</v>
      </c>
      <c r="E3" s="4" t="s">
        <v>219</v>
      </c>
      <c r="F3" s="4" t="s">
        <v>220</v>
      </c>
      <c r="G3" s="4" t="s">
        <v>221</v>
      </c>
      <c r="H3" s="4" t="s">
        <v>67</v>
      </c>
      <c r="I3" s="4" t="s">
        <v>222</v>
      </c>
      <c r="J3" s="4" t="s">
        <v>223</v>
      </c>
      <c r="K3" s="4" t="s">
        <v>224</v>
      </c>
      <c r="L3" s="4" t="s">
        <v>225</v>
      </c>
      <c r="M3" s="4" t="s">
        <v>226</v>
      </c>
      <c r="N3" s="4" t="s">
        <v>227</v>
      </c>
      <c r="O3" s="4" t="s">
        <v>228</v>
      </c>
      <c r="P3" s="4" t="s">
        <v>229</v>
      </c>
      <c r="Q3" s="4" t="s">
        <v>230</v>
      </c>
    </row>
    <row r="4" customFormat="false" ht="15" hidden="false" customHeight="false" outlineLevel="0" collapsed="false">
      <c r="A4" s="5" t="s">
        <v>71</v>
      </c>
      <c r="B4" s="5" t="s">
        <v>231</v>
      </c>
      <c r="C4" s="5" t="s">
        <v>232</v>
      </c>
      <c r="D4" s="24" t="n">
        <v>6.37</v>
      </c>
      <c r="E4" s="5" t="n">
        <v>9</v>
      </c>
      <c r="F4" s="24" t="n">
        <v>2.63</v>
      </c>
      <c r="G4" s="24" t="n">
        <v>13.4</v>
      </c>
      <c r="H4" s="5" t="n">
        <v>14</v>
      </c>
      <c r="I4" s="24" t="n">
        <v>0.6</v>
      </c>
      <c r="J4" s="5" t="s">
        <v>233</v>
      </c>
      <c r="K4" s="21" t="s">
        <v>75</v>
      </c>
      <c r="L4" s="5" t="s">
        <v>234</v>
      </c>
      <c r="M4" s="21" t="s">
        <v>75</v>
      </c>
      <c r="N4" s="5" t="s">
        <v>232</v>
      </c>
      <c r="O4" s="5" t="s">
        <v>231</v>
      </c>
      <c r="P4" s="22" t="s">
        <v>80</v>
      </c>
      <c r="Q4" s="25" t="n">
        <v>0.507</v>
      </c>
    </row>
    <row r="5" customFormat="false" ht="15" hidden="false" customHeight="false" outlineLevel="0" collapsed="false">
      <c r="A5" s="5" t="s">
        <v>71</v>
      </c>
      <c r="B5" s="5" t="s">
        <v>72</v>
      </c>
      <c r="C5" s="5" t="s">
        <v>73</v>
      </c>
      <c r="D5" s="24" t="n">
        <v>4.12</v>
      </c>
      <c r="E5" s="5" t="n">
        <v>4</v>
      </c>
      <c r="F5" s="24" t="n">
        <v>0.12</v>
      </c>
      <c r="G5" s="24" t="n">
        <v>9.07</v>
      </c>
      <c r="H5" s="5" t="n">
        <v>13</v>
      </c>
      <c r="I5" s="24" t="n">
        <v>3.93</v>
      </c>
      <c r="J5" s="5" t="s">
        <v>235</v>
      </c>
      <c r="K5" s="22" t="s">
        <v>80</v>
      </c>
      <c r="L5" s="5" t="s">
        <v>236</v>
      </c>
      <c r="M5" s="22" t="s">
        <v>80</v>
      </c>
      <c r="N5" s="5" t="s">
        <v>73</v>
      </c>
      <c r="O5" s="5" t="s">
        <v>73</v>
      </c>
      <c r="P5" s="21" t="s">
        <v>75</v>
      </c>
      <c r="Q5" s="25" t="n">
        <v>0.486</v>
      </c>
    </row>
    <row r="6" customFormat="false" ht="15" hidden="false" customHeight="false" outlineLevel="0" collapsed="false">
      <c r="A6" s="5" t="s">
        <v>71</v>
      </c>
      <c r="B6" s="5" t="s">
        <v>77</v>
      </c>
      <c r="C6" s="5" t="s">
        <v>78</v>
      </c>
      <c r="D6" s="24" t="n">
        <v>4.1</v>
      </c>
      <c r="E6" s="5" t="n">
        <v>6</v>
      </c>
      <c r="F6" s="24" t="n">
        <v>1.9</v>
      </c>
      <c r="G6" s="24" t="n">
        <v>10.26</v>
      </c>
      <c r="H6" s="5" t="n">
        <v>8</v>
      </c>
      <c r="I6" s="24" t="n">
        <v>2.26</v>
      </c>
      <c r="J6" s="5" t="s">
        <v>235</v>
      </c>
      <c r="K6" s="22" t="s">
        <v>80</v>
      </c>
      <c r="L6" s="5" t="s">
        <v>237</v>
      </c>
      <c r="M6" s="26" t="s">
        <v>238</v>
      </c>
      <c r="N6" s="5" t="s">
        <v>77</v>
      </c>
      <c r="O6" s="5" t="s">
        <v>77</v>
      </c>
      <c r="P6" s="21" t="s">
        <v>75</v>
      </c>
      <c r="Q6" s="25" t="n">
        <v>0.515</v>
      </c>
    </row>
    <row r="7" customFormat="false" ht="15" hidden="false" customHeight="false" outlineLevel="0" collapsed="false">
      <c r="A7" s="5" t="s">
        <v>71</v>
      </c>
      <c r="B7" s="5" t="s">
        <v>81</v>
      </c>
      <c r="C7" s="5" t="s">
        <v>82</v>
      </c>
      <c r="D7" s="24" t="n">
        <v>2.8</v>
      </c>
      <c r="E7" s="5" t="n">
        <v>5</v>
      </c>
      <c r="F7" s="24" t="n">
        <v>2.2</v>
      </c>
      <c r="G7" s="24" t="n">
        <v>8.9</v>
      </c>
      <c r="H7" s="5" t="n">
        <v>8</v>
      </c>
      <c r="I7" s="24" t="n">
        <v>0.9</v>
      </c>
      <c r="J7" s="5" t="s">
        <v>235</v>
      </c>
      <c r="K7" s="22" t="s">
        <v>80</v>
      </c>
      <c r="L7" s="5" t="s">
        <v>236</v>
      </c>
      <c r="M7" s="21" t="s">
        <v>75</v>
      </c>
      <c r="N7" s="5" t="s">
        <v>82</v>
      </c>
      <c r="O7" s="5" t="s">
        <v>81</v>
      </c>
      <c r="P7" s="22" t="s">
        <v>80</v>
      </c>
      <c r="Q7" s="25" t="n">
        <v>0.475</v>
      </c>
    </row>
    <row r="8" customFormat="false" ht="15" hidden="false" customHeight="false" outlineLevel="0" collapsed="false">
      <c r="A8" s="5" t="s">
        <v>71</v>
      </c>
      <c r="B8" s="5" t="s">
        <v>239</v>
      </c>
      <c r="C8" s="5" t="s">
        <v>240</v>
      </c>
      <c r="D8" s="24" t="n">
        <v>4.15</v>
      </c>
      <c r="E8" s="5" t="n">
        <v>2</v>
      </c>
      <c r="F8" s="24" t="n">
        <v>2.15</v>
      </c>
      <c r="G8" s="24" t="n">
        <v>7.1</v>
      </c>
      <c r="H8" s="5" t="n">
        <v>10</v>
      </c>
      <c r="I8" s="24" t="n">
        <v>2.9</v>
      </c>
      <c r="J8" s="5" t="s">
        <v>235</v>
      </c>
      <c r="K8" s="21" t="s">
        <v>75</v>
      </c>
      <c r="L8" s="5" t="s">
        <v>236</v>
      </c>
      <c r="M8" s="22" t="s">
        <v>80</v>
      </c>
      <c r="N8" s="5" t="s">
        <v>240</v>
      </c>
      <c r="O8" s="5" t="s">
        <v>241</v>
      </c>
      <c r="P8" s="22" t="s">
        <v>80</v>
      </c>
      <c r="Q8" s="25" t="n">
        <v>0.422</v>
      </c>
    </row>
    <row r="9" customFormat="false" ht="15" hidden="false" customHeight="false" outlineLevel="0" collapsed="false">
      <c r="A9" s="5" t="s">
        <v>71</v>
      </c>
      <c r="B9" s="5" t="s">
        <v>84</v>
      </c>
      <c r="C9" s="5" t="s">
        <v>85</v>
      </c>
      <c r="D9" s="24" t="n">
        <v>6.39</v>
      </c>
      <c r="E9" s="5" t="n">
        <v>6</v>
      </c>
      <c r="F9" s="24" t="n">
        <v>0.39</v>
      </c>
      <c r="G9" s="24" t="n">
        <v>14.9</v>
      </c>
      <c r="H9" s="5" t="n">
        <v>9</v>
      </c>
      <c r="I9" s="24" t="n">
        <v>5.9</v>
      </c>
      <c r="J9" s="5" t="s">
        <v>233</v>
      </c>
      <c r="K9" s="21" t="s">
        <v>75</v>
      </c>
      <c r="L9" s="5" t="s">
        <v>234</v>
      </c>
      <c r="M9" s="22" t="s">
        <v>80</v>
      </c>
      <c r="N9" s="5" t="s">
        <v>85</v>
      </c>
      <c r="O9" s="5" t="s">
        <v>85</v>
      </c>
      <c r="P9" s="21" t="s">
        <v>75</v>
      </c>
      <c r="Q9" s="25" t="n">
        <v>0.515</v>
      </c>
    </row>
    <row r="10" customFormat="false" ht="15" hidden="false" customHeight="false" outlineLevel="0" collapsed="false">
      <c r="A10" s="5" t="s">
        <v>87</v>
      </c>
      <c r="B10" s="5" t="s">
        <v>88</v>
      </c>
      <c r="C10" s="5" t="s">
        <v>89</v>
      </c>
      <c r="D10" s="24" t="n">
        <v>5.34</v>
      </c>
      <c r="E10" s="5" t="n">
        <v>2</v>
      </c>
      <c r="F10" s="24" t="n">
        <v>3.34</v>
      </c>
      <c r="G10" s="24" t="n">
        <v>10.16</v>
      </c>
      <c r="H10" s="5" t="n">
        <v>5</v>
      </c>
      <c r="I10" s="24" t="n">
        <v>5.16</v>
      </c>
      <c r="J10" s="5" t="s">
        <v>233</v>
      </c>
      <c r="K10" s="22" t="s">
        <v>80</v>
      </c>
      <c r="L10" s="5" t="s">
        <v>237</v>
      </c>
      <c r="M10" s="26" t="s">
        <v>238</v>
      </c>
      <c r="N10" s="5" t="s">
        <v>88</v>
      </c>
      <c r="O10" s="5" t="s">
        <v>241</v>
      </c>
      <c r="P10" s="22" t="s">
        <v>80</v>
      </c>
      <c r="Q10" s="25" t="n">
        <v>0.881</v>
      </c>
    </row>
    <row r="11" customFormat="false" ht="15" hidden="false" customHeight="false" outlineLevel="0" collapsed="false">
      <c r="A11" s="5" t="s">
        <v>87</v>
      </c>
      <c r="B11" s="5" t="s">
        <v>242</v>
      </c>
      <c r="C11" s="5" t="s">
        <v>243</v>
      </c>
      <c r="D11" s="24" t="n">
        <v>3.16</v>
      </c>
      <c r="E11" s="5" t="n">
        <v>4</v>
      </c>
      <c r="F11" s="24" t="n">
        <v>0.84</v>
      </c>
      <c r="G11" s="24" t="n">
        <v>6.02</v>
      </c>
      <c r="H11" s="5" t="n">
        <v>9</v>
      </c>
      <c r="I11" s="24" t="n">
        <v>2.98</v>
      </c>
      <c r="J11" s="5" t="s">
        <v>235</v>
      </c>
      <c r="K11" s="22" t="s">
        <v>80</v>
      </c>
      <c r="L11" s="5" t="s">
        <v>236</v>
      </c>
      <c r="M11" s="21" t="s">
        <v>75</v>
      </c>
      <c r="N11" s="5" t="s">
        <v>244</v>
      </c>
      <c r="O11" s="5" t="s">
        <v>243</v>
      </c>
      <c r="P11" s="21" t="s">
        <v>75</v>
      </c>
      <c r="Q11" s="25" t="n">
        <v>0.781</v>
      </c>
    </row>
    <row r="12" customFormat="false" ht="15" hidden="false" customHeight="false" outlineLevel="0" collapsed="false">
      <c r="A12" s="5" t="s">
        <v>87</v>
      </c>
      <c r="B12" s="5" t="s">
        <v>245</v>
      </c>
      <c r="C12" s="5" t="s">
        <v>246</v>
      </c>
      <c r="D12" s="24" t="n">
        <v>3.93</v>
      </c>
      <c r="E12" s="5" t="n">
        <v>2</v>
      </c>
      <c r="F12" s="24" t="n">
        <v>1.93</v>
      </c>
      <c r="G12" s="24" t="n">
        <v>8.02</v>
      </c>
      <c r="H12" s="5" t="n">
        <v>6</v>
      </c>
      <c r="I12" s="24" t="n">
        <v>2.02</v>
      </c>
      <c r="J12" s="5" t="s">
        <v>235</v>
      </c>
      <c r="K12" s="21" t="s">
        <v>75</v>
      </c>
      <c r="L12" s="5" t="s">
        <v>236</v>
      </c>
      <c r="M12" s="21" t="s">
        <v>75</v>
      </c>
      <c r="N12" s="5" t="s">
        <v>246</v>
      </c>
      <c r="O12" s="5" t="s">
        <v>245</v>
      </c>
      <c r="P12" s="22" t="s">
        <v>80</v>
      </c>
      <c r="Q12" s="25" t="n">
        <v>0.815</v>
      </c>
    </row>
    <row r="13" customFormat="false" ht="15" hidden="false" customHeight="false" outlineLevel="0" collapsed="false">
      <c r="A13" s="5" t="s">
        <v>87</v>
      </c>
      <c r="B13" s="5" t="s">
        <v>247</v>
      </c>
      <c r="C13" s="5" t="s">
        <v>248</v>
      </c>
      <c r="D13" s="24" t="n">
        <v>3.7</v>
      </c>
      <c r="E13" s="5" t="n">
        <v>3</v>
      </c>
      <c r="F13" s="24" t="n">
        <v>0.7</v>
      </c>
      <c r="G13" s="24" t="n">
        <v>8.55</v>
      </c>
      <c r="H13" s="5" t="n">
        <v>7</v>
      </c>
      <c r="I13" s="24" t="n">
        <v>1.55</v>
      </c>
      <c r="J13" s="5" t="s">
        <v>235</v>
      </c>
      <c r="K13" s="21" t="s">
        <v>75</v>
      </c>
      <c r="L13" s="5" t="s">
        <v>236</v>
      </c>
      <c r="M13" s="21" t="s">
        <v>75</v>
      </c>
      <c r="N13" s="5" t="s">
        <v>249</v>
      </c>
      <c r="O13" s="5" t="s">
        <v>241</v>
      </c>
      <c r="P13" s="22" t="s">
        <v>80</v>
      </c>
      <c r="Q13" s="25" t="n">
        <v>0.816</v>
      </c>
    </row>
    <row r="14" customFormat="false" ht="15" hidden="false" customHeight="false" outlineLevel="0" collapsed="false">
      <c r="A14" s="5" t="s">
        <v>87</v>
      </c>
      <c r="B14" s="5" t="s">
        <v>91</v>
      </c>
      <c r="C14" s="5" t="s">
        <v>92</v>
      </c>
      <c r="D14" s="24" t="n">
        <v>4.25</v>
      </c>
      <c r="E14" s="5" t="n">
        <v>4</v>
      </c>
      <c r="F14" s="24" t="n">
        <v>0.25</v>
      </c>
      <c r="G14" s="24" t="n">
        <v>10.34</v>
      </c>
      <c r="H14" s="5" t="n">
        <v>4</v>
      </c>
      <c r="I14" s="24" t="n">
        <v>6.34</v>
      </c>
      <c r="J14" s="5" t="s">
        <v>235</v>
      </c>
      <c r="K14" s="22" t="s">
        <v>80</v>
      </c>
      <c r="L14" s="5" t="s">
        <v>237</v>
      </c>
      <c r="M14" s="26" t="s">
        <v>238</v>
      </c>
      <c r="N14" s="5" t="s">
        <v>91</v>
      </c>
      <c r="O14" s="5" t="s">
        <v>92</v>
      </c>
      <c r="P14" s="22" t="s">
        <v>80</v>
      </c>
      <c r="Q14" s="25" t="n">
        <v>0.872</v>
      </c>
    </row>
    <row r="15" customFormat="false" ht="15" hidden="false" customHeight="false" outlineLevel="0" collapsed="false">
      <c r="A15" s="5" t="s">
        <v>87</v>
      </c>
      <c r="B15" s="5" t="s">
        <v>250</v>
      </c>
      <c r="C15" s="5" t="s">
        <v>251</v>
      </c>
      <c r="D15" s="24" t="n">
        <v>3.72</v>
      </c>
      <c r="E15" s="5" t="n">
        <v>3</v>
      </c>
      <c r="F15" s="24" t="n">
        <v>0.72</v>
      </c>
      <c r="G15" s="24" t="n">
        <v>7.31</v>
      </c>
      <c r="H15" s="5" t="n">
        <v>9</v>
      </c>
      <c r="I15" s="24" t="n">
        <v>1.69</v>
      </c>
      <c r="J15" s="5" t="s">
        <v>235</v>
      </c>
      <c r="K15" s="21" t="s">
        <v>75</v>
      </c>
      <c r="L15" s="5" t="s">
        <v>236</v>
      </c>
      <c r="M15" s="21" t="s">
        <v>75</v>
      </c>
      <c r="N15" s="5" t="s">
        <v>252</v>
      </c>
      <c r="O15" s="5" t="s">
        <v>251</v>
      </c>
      <c r="P15" s="21" t="s">
        <v>75</v>
      </c>
      <c r="Q15" s="25" t="n">
        <v>0.83</v>
      </c>
    </row>
    <row r="16" customFormat="false" ht="15" hidden="false" customHeight="false" outlineLevel="0" collapsed="false">
      <c r="A16" s="5" t="s">
        <v>87</v>
      </c>
      <c r="B16" s="5" t="s">
        <v>94</v>
      </c>
      <c r="C16" s="5" t="s">
        <v>95</v>
      </c>
      <c r="D16" s="24" t="n">
        <v>3.89</v>
      </c>
      <c r="E16" s="5" t="n">
        <v>9</v>
      </c>
      <c r="F16" s="24" t="n">
        <v>5.11</v>
      </c>
      <c r="G16" s="24" t="n">
        <v>7.63</v>
      </c>
      <c r="H16" s="5" t="n">
        <v>13</v>
      </c>
      <c r="I16" s="24" t="n">
        <v>5.37</v>
      </c>
      <c r="J16" s="5" t="s">
        <v>235</v>
      </c>
      <c r="K16" s="22" t="s">
        <v>80</v>
      </c>
      <c r="L16" s="5" t="s">
        <v>236</v>
      </c>
      <c r="M16" s="22" t="s">
        <v>80</v>
      </c>
      <c r="N16" s="5" t="s">
        <v>94</v>
      </c>
      <c r="O16" s="5" t="s">
        <v>94</v>
      </c>
      <c r="P16" s="21" t="s">
        <v>75</v>
      </c>
      <c r="Q16" s="25" t="n">
        <v>0.881</v>
      </c>
    </row>
    <row r="17" customFormat="false" ht="15" hidden="false" customHeight="false" outlineLevel="0" collapsed="false">
      <c r="A17" s="5" t="s">
        <v>87</v>
      </c>
      <c r="B17" s="5" t="s">
        <v>97</v>
      </c>
      <c r="C17" s="5" t="s">
        <v>98</v>
      </c>
      <c r="D17" s="24" t="n">
        <v>3.08</v>
      </c>
      <c r="E17" s="5" t="n">
        <v>5</v>
      </c>
      <c r="F17" s="24" t="n">
        <v>1.92</v>
      </c>
      <c r="G17" s="24" t="n">
        <v>4.94</v>
      </c>
      <c r="H17" s="5" t="n">
        <v>8</v>
      </c>
      <c r="I17" s="24" t="n">
        <v>3.06</v>
      </c>
      <c r="J17" s="5" t="s">
        <v>235</v>
      </c>
      <c r="K17" s="22" t="s">
        <v>80</v>
      </c>
      <c r="L17" s="5" t="s">
        <v>236</v>
      </c>
      <c r="M17" s="21" t="s">
        <v>75</v>
      </c>
      <c r="N17" s="5" t="s">
        <v>97</v>
      </c>
      <c r="O17" s="5" t="s">
        <v>241</v>
      </c>
      <c r="P17" s="22" t="s">
        <v>80</v>
      </c>
      <c r="Q17" s="25" t="n">
        <v>0.781</v>
      </c>
    </row>
    <row r="18" customFormat="false" ht="15" hidden="false" customHeight="false" outlineLevel="0" collapsed="false">
      <c r="A18" s="5" t="s">
        <v>87</v>
      </c>
      <c r="B18" s="5" t="s">
        <v>99</v>
      </c>
      <c r="C18" s="5" t="s">
        <v>100</v>
      </c>
      <c r="D18" s="24" t="n">
        <v>4.71</v>
      </c>
      <c r="E18" s="5" t="n">
        <v>2</v>
      </c>
      <c r="F18" s="24" t="n">
        <v>2.71</v>
      </c>
      <c r="G18" s="24" t="n">
        <v>10.3</v>
      </c>
      <c r="H18" s="5" t="n">
        <v>7</v>
      </c>
      <c r="I18" s="24" t="n">
        <v>3.3</v>
      </c>
      <c r="J18" s="5" t="s">
        <v>237</v>
      </c>
      <c r="K18" s="26" t="s">
        <v>238</v>
      </c>
      <c r="L18" s="5" t="s">
        <v>237</v>
      </c>
      <c r="M18" s="26" t="s">
        <v>238</v>
      </c>
      <c r="N18" s="5" t="s">
        <v>100</v>
      </c>
      <c r="O18" s="5" t="s">
        <v>241</v>
      </c>
      <c r="P18" s="22" t="s">
        <v>80</v>
      </c>
      <c r="Q18" s="25" t="n">
        <v>0.881</v>
      </c>
    </row>
    <row r="19" customFormat="false" ht="15" hidden="false" customHeight="false" outlineLevel="0" collapsed="false">
      <c r="A19" s="5" t="s">
        <v>87</v>
      </c>
      <c r="B19" s="5" t="s">
        <v>253</v>
      </c>
      <c r="C19" s="5" t="s">
        <v>254</v>
      </c>
      <c r="D19" s="24" t="n">
        <v>1.75</v>
      </c>
      <c r="E19" s="5" t="n">
        <v>7</v>
      </c>
      <c r="F19" s="24" t="n">
        <v>5.25</v>
      </c>
      <c r="G19" s="24" t="n">
        <v>2.65</v>
      </c>
      <c r="H19" s="5" t="n">
        <v>12</v>
      </c>
      <c r="I19" s="24" t="n">
        <v>9.35</v>
      </c>
      <c r="J19" s="5" t="s">
        <v>235</v>
      </c>
      <c r="K19" s="22" t="s">
        <v>80</v>
      </c>
      <c r="L19" s="5" t="s">
        <v>236</v>
      </c>
      <c r="M19" s="22" t="s">
        <v>80</v>
      </c>
      <c r="N19" s="5" t="s">
        <v>253</v>
      </c>
      <c r="O19" s="5" t="s">
        <v>254</v>
      </c>
      <c r="P19" s="22" t="s">
        <v>80</v>
      </c>
      <c r="Q19" s="25" t="n">
        <v>0.781</v>
      </c>
    </row>
    <row r="20" customFormat="false" ht="15" hidden="false" customHeight="false" outlineLevel="0" collapsed="false">
      <c r="A20" s="5" t="s">
        <v>87</v>
      </c>
      <c r="B20" s="5" t="s">
        <v>102</v>
      </c>
      <c r="C20" s="5" t="s">
        <v>103</v>
      </c>
      <c r="D20" s="24" t="n">
        <v>2.09</v>
      </c>
      <c r="E20" s="5" t="n">
        <v>1</v>
      </c>
      <c r="F20" s="24" t="n">
        <v>1.09</v>
      </c>
      <c r="G20" s="24" t="n">
        <v>6.25</v>
      </c>
      <c r="H20" s="5" t="n">
        <v>5</v>
      </c>
      <c r="I20" s="24" t="n">
        <v>1.25</v>
      </c>
      <c r="J20" s="5" t="s">
        <v>235</v>
      </c>
      <c r="K20" s="21" t="s">
        <v>75</v>
      </c>
      <c r="L20" s="5" t="s">
        <v>236</v>
      </c>
      <c r="M20" s="21" t="s">
        <v>75</v>
      </c>
      <c r="N20" s="5" t="s">
        <v>102</v>
      </c>
      <c r="O20" s="5" t="s">
        <v>241</v>
      </c>
      <c r="P20" s="22" t="s">
        <v>80</v>
      </c>
      <c r="Q20" s="25" t="n">
        <v>0.83</v>
      </c>
    </row>
    <row r="21" customFormat="false" ht="15" hidden="false" customHeight="false" outlineLevel="0" collapsed="false">
      <c r="A21" s="5" t="s">
        <v>87</v>
      </c>
      <c r="B21" s="5" t="s">
        <v>105</v>
      </c>
      <c r="C21" s="5" t="s">
        <v>106</v>
      </c>
      <c r="D21" s="24" t="n">
        <v>4.99</v>
      </c>
      <c r="E21" s="5" t="n">
        <v>6</v>
      </c>
      <c r="F21" s="24" t="n">
        <v>1.01</v>
      </c>
      <c r="G21" s="24" t="n">
        <v>8.96</v>
      </c>
      <c r="H21" s="5" t="n">
        <v>9</v>
      </c>
      <c r="I21" s="24" t="n">
        <v>0.0399999999999992</v>
      </c>
      <c r="J21" s="5" t="s">
        <v>237</v>
      </c>
      <c r="K21" s="26" t="s">
        <v>238</v>
      </c>
      <c r="L21" s="5" t="s">
        <v>236</v>
      </c>
      <c r="M21" s="21" t="s">
        <v>75</v>
      </c>
      <c r="N21" s="5" t="s">
        <v>105</v>
      </c>
      <c r="O21" s="5" t="s">
        <v>105</v>
      </c>
      <c r="P21" s="21" t="s">
        <v>75</v>
      </c>
      <c r="Q21" s="25" t="n">
        <v>0.88</v>
      </c>
    </row>
    <row r="22" customFormat="false" ht="15" hidden="false" customHeight="false" outlineLevel="0" collapsed="false">
      <c r="A22" s="5" t="s">
        <v>87</v>
      </c>
      <c r="B22" s="5" t="s">
        <v>255</v>
      </c>
      <c r="C22" s="5" t="s">
        <v>256</v>
      </c>
      <c r="D22" s="24" t="n">
        <v>2.69</v>
      </c>
      <c r="E22" s="5" t="n">
        <v>5</v>
      </c>
      <c r="F22" s="24" t="n">
        <v>2.31</v>
      </c>
      <c r="G22" s="24" t="n">
        <v>5.6</v>
      </c>
      <c r="H22" s="5" t="n">
        <v>9</v>
      </c>
      <c r="I22" s="24" t="n">
        <v>3.4</v>
      </c>
      <c r="J22" s="5" t="s">
        <v>235</v>
      </c>
      <c r="K22" s="22" t="s">
        <v>80</v>
      </c>
      <c r="L22" s="5" t="s">
        <v>236</v>
      </c>
      <c r="M22" s="21" t="s">
        <v>75</v>
      </c>
      <c r="N22" s="5" t="s">
        <v>256</v>
      </c>
      <c r="O22" s="5" t="s">
        <v>255</v>
      </c>
      <c r="P22" s="22" t="s">
        <v>80</v>
      </c>
      <c r="Q22" s="25" t="n">
        <v>0.781</v>
      </c>
    </row>
    <row r="23" customFormat="false" ht="15" hidden="false" customHeight="false" outlineLevel="0" collapsed="false">
      <c r="A23" s="5" t="s">
        <v>87</v>
      </c>
      <c r="B23" s="5" t="s">
        <v>108</v>
      </c>
      <c r="C23" s="5" t="s">
        <v>109</v>
      </c>
      <c r="D23" s="24" t="n">
        <v>3.98</v>
      </c>
      <c r="E23" s="5" t="n">
        <v>2</v>
      </c>
      <c r="F23" s="24" t="n">
        <v>1.98</v>
      </c>
      <c r="G23" s="24" t="n">
        <v>10.8</v>
      </c>
      <c r="H23" s="5" t="n">
        <v>6</v>
      </c>
      <c r="I23" s="24" t="n">
        <v>4.8</v>
      </c>
      <c r="J23" s="5" t="s">
        <v>235</v>
      </c>
      <c r="K23" s="21" t="s">
        <v>75</v>
      </c>
      <c r="L23" s="5" t="s">
        <v>237</v>
      </c>
      <c r="M23" s="26" t="s">
        <v>238</v>
      </c>
      <c r="N23" s="5" t="s">
        <v>109</v>
      </c>
      <c r="O23" s="5" t="s">
        <v>241</v>
      </c>
      <c r="P23" s="22" t="s">
        <v>80</v>
      </c>
      <c r="Q23" s="25" t="n">
        <v>0.859</v>
      </c>
    </row>
    <row r="24" customFormat="false" ht="15" hidden="false" customHeight="false" outlineLevel="0" collapsed="false">
      <c r="A24" s="5" t="s">
        <v>111</v>
      </c>
      <c r="B24" s="5" t="s">
        <v>257</v>
      </c>
      <c r="C24" s="5" t="s">
        <v>258</v>
      </c>
      <c r="D24" s="24" t="n">
        <v>2.23</v>
      </c>
      <c r="E24" s="5" t="n">
        <v>4</v>
      </c>
      <c r="F24" s="24" t="n">
        <v>1.77</v>
      </c>
      <c r="G24" s="24" t="n">
        <v>4.9</v>
      </c>
      <c r="H24" s="5" t="n">
        <v>10</v>
      </c>
      <c r="I24" s="24" t="n">
        <v>5.1</v>
      </c>
      <c r="J24" s="5" t="s">
        <v>235</v>
      </c>
      <c r="K24" s="22" t="s">
        <v>80</v>
      </c>
      <c r="L24" s="5" t="s">
        <v>236</v>
      </c>
      <c r="M24" s="22" t="s">
        <v>80</v>
      </c>
      <c r="N24" s="5" t="s">
        <v>257</v>
      </c>
      <c r="O24" s="5" t="s">
        <v>258</v>
      </c>
      <c r="P24" s="22" t="s">
        <v>80</v>
      </c>
      <c r="Q24" s="25" t="n">
        <v>0.4</v>
      </c>
    </row>
    <row r="25" customFormat="false" ht="15" hidden="false" customHeight="false" outlineLevel="0" collapsed="false">
      <c r="A25" s="5" t="s">
        <v>111</v>
      </c>
      <c r="B25" s="5" t="s">
        <v>112</v>
      </c>
      <c r="C25" s="5" t="s">
        <v>113</v>
      </c>
      <c r="D25" s="24" t="n">
        <v>2.13</v>
      </c>
      <c r="E25" s="5" t="n">
        <v>3</v>
      </c>
      <c r="F25" s="24" t="n">
        <v>0.87</v>
      </c>
      <c r="G25" s="24" t="n">
        <v>5.6</v>
      </c>
      <c r="H25" s="5" t="n">
        <v>4</v>
      </c>
      <c r="I25" s="24" t="n">
        <v>1.6</v>
      </c>
      <c r="J25" s="5" t="s">
        <v>235</v>
      </c>
      <c r="K25" s="21" t="s">
        <v>75</v>
      </c>
      <c r="L25" s="5" t="s">
        <v>236</v>
      </c>
      <c r="M25" s="21" t="s">
        <v>75</v>
      </c>
      <c r="N25" s="5" t="s">
        <v>112</v>
      </c>
      <c r="O25" s="5" t="s">
        <v>112</v>
      </c>
      <c r="P25" s="21" t="s">
        <v>75</v>
      </c>
      <c r="Q25" s="25" t="n">
        <v>0.4</v>
      </c>
    </row>
    <row r="26" customFormat="false" ht="15" hidden="false" customHeight="false" outlineLevel="0" collapsed="false">
      <c r="A26" s="5" t="s">
        <v>111</v>
      </c>
      <c r="B26" s="5" t="s">
        <v>259</v>
      </c>
      <c r="C26" s="5" t="s">
        <v>260</v>
      </c>
      <c r="D26" s="24" t="n">
        <v>4.02</v>
      </c>
      <c r="E26" s="5" t="n">
        <v>9</v>
      </c>
      <c r="F26" s="24" t="n">
        <v>4.98</v>
      </c>
      <c r="G26" s="24" t="n">
        <v>9.88</v>
      </c>
      <c r="H26" s="5" t="n">
        <v>13</v>
      </c>
      <c r="I26" s="24" t="n">
        <v>3.12</v>
      </c>
      <c r="J26" s="5" t="s">
        <v>235</v>
      </c>
      <c r="K26" s="22" t="s">
        <v>80</v>
      </c>
      <c r="L26" s="5" t="s">
        <v>236</v>
      </c>
      <c r="M26" s="22" t="s">
        <v>80</v>
      </c>
      <c r="N26" s="5" t="s">
        <v>259</v>
      </c>
      <c r="O26" s="5" t="s">
        <v>241</v>
      </c>
      <c r="P26" s="22" t="s">
        <v>80</v>
      </c>
      <c r="Q26" s="25" t="n">
        <v>0.444</v>
      </c>
    </row>
    <row r="27" customFormat="false" ht="15" hidden="false" customHeight="false" outlineLevel="0" collapsed="false">
      <c r="A27" s="5" t="s">
        <v>111</v>
      </c>
      <c r="B27" s="5" t="s">
        <v>115</v>
      </c>
      <c r="C27" s="5" t="s">
        <v>116</v>
      </c>
      <c r="D27" s="24" t="n">
        <v>3.94</v>
      </c>
      <c r="E27" s="5" t="n">
        <v>0</v>
      </c>
      <c r="F27" s="24" t="n">
        <v>3.94</v>
      </c>
      <c r="G27" s="24" t="n">
        <v>5.95</v>
      </c>
      <c r="H27" s="5" t="n">
        <v>7</v>
      </c>
      <c r="I27" s="24" t="n">
        <v>1.05</v>
      </c>
      <c r="J27" s="5" t="s">
        <v>235</v>
      </c>
      <c r="K27" s="21" t="s">
        <v>75</v>
      </c>
      <c r="L27" s="5" t="s">
        <v>236</v>
      </c>
      <c r="M27" s="21" t="s">
        <v>75</v>
      </c>
      <c r="N27" s="5" t="s">
        <v>115</v>
      </c>
      <c r="O27" s="5" t="s">
        <v>116</v>
      </c>
      <c r="P27" s="22" t="s">
        <v>80</v>
      </c>
      <c r="Q27" s="25" t="n">
        <v>0.4</v>
      </c>
    </row>
    <row r="28" customFormat="false" ht="15" hidden="false" customHeight="false" outlineLevel="0" collapsed="false">
      <c r="A28" s="5" t="s">
        <v>111</v>
      </c>
      <c r="B28" s="5" t="s">
        <v>118</v>
      </c>
      <c r="C28" s="5" t="s">
        <v>119</v>
      </c>
      <c r="D28" s="24" t="n">
        <v>4.11</v>
      </c>
      <c r="E28" s="5" t="n">
        <v>3</v>
      </c>
      <c r="F28" s="24" t="n">
        <v>1.11</v>
      </c>
      <c r="G28" s="24" t="n">
        <v>6.4</v>
      </c>
      <c r="H28" s="5" t="n">
        <v>7</v>
      </c>
      <c r="I28" s="24" t="n">
        <v>0.6</v>
      </c>
      <c r="J28" s="5" t="s">
        <v>235</v>
      </c>
      <c r="K28" s="21" t="s">
        <v>75</v>
      </c>
      <c r="L28" s="5" t="s">
        <v>236</v>
      </c>
      <c r="M28" s="21" t="s">
        <v>75</v>
      </c>
      <c r="N28" s="5" t="s">
        <v>119</v>
      </c>
      <c r="O28" s="5" t="s">
        <v>118</v>
      </c>
      <c r="P28" s="22" t="s">
        <v>80</v>
      </c>
      <c r="Q28" s="25" t="n">
        <v>0.4</v>
      </c>
    </row>
    <row r="29" customFormat="false" ht="15" hidden="false" customHeight="false" outlineLevel="0" collapsed="false">
      <c r="A29" s="5" t="s">
        <v>111</v>
      </c>
      <c r="B29" s="5" t="s">
        <v>261</v>
      </c>
      <c r="C29" s="5" t="s">
        <v>262</v>
      </c>
      <c r="D29" s="24" t="n">
        <v>2.94</v>
      </c>
      <c r="E29" s="5" t="n">
        <v>6</v>
      </c>
      <c r="F29" s="24" t="n">
        <v>3.06</v>
      </c>
      <c r="G29" s="24" t="n">
        <v>5.78</v>
      </c>
      <c r="H29" s="5" t="n">
        <v>11</v>
      </c>
      <c r="I29" s="24" t="n">
        <v>5.22</v>
      </c>
      <c r="J29" s="5" t="s">
        <v>235</v>
      </c>
      <c r="K29" s="22" t="s">
        <v>80</v>
      </c>
      <c r="L29" s="5" t="s">
        <v>236</v>
      </c>
      <c r="M29" s="22" t="s">
        <v>80</v>
      </c>
      <c r="N29" s="5" t="s">
        <v>262</v>
      </c>
      <c r="O29" s="5" t="s">
        <v>241</v>
      </c>
      <c r="P29" s="22" t="s">
        <v>80</v>
      </c>
      <c r="Q29" s="25" t="n">
        <v>0.4</v>
      </c>
    </row>
    <row r="30" customFormat="false" ht="15" hidden="false" customHeight="false" outlineLevel="0" collapsed="false">
      <c r="A30" s="5" t="s">
        <v>111</v>
      </c>
      <c r="B30" s="5" t="s">
        <v>120</v>
      </c>
      <c r="C30" s="5" t="s">
        <v>121</v>
      </c>
      <c r="D30" s="24" t="n">
        <v>4.84</v>
      </c>
      <c r="E30" s="5" t="n">
        <v>5</v>
      </c>
      <c r="F30" s="24" t="n">
        <v>0.16</v>
      </c>
      <c r="G30" s="24" t="n">
        <v>9.89</v>
      </c>
      <c r="H30" s="5" t="n">
        <v>6</v>
      </c>
      <c r="I30" s="24" t="n">
        <v>3.89</v>
      </c>
      <c r="J30" s="5" t="s">
        <v>237</v>
      </c>
      <c r="K30" s="26" t="s">
        <v>238</v>
      </c>
      <c r="L30" s="5" t="s">
        <v>236</v>
      </c>
      <c r="M30" s="21" t="s">
        <v>75</v>
      </c>
      <c r="N30" s="5" t="s">
        <v>121</v>
      </c>
      <c r="O30" s="5" t="s">
        <v>121</v>
      </c>
      <c r="P30" s="21" t="s">
        <v>75</v>
      </c>
      <c r="Q30" s="25" t="n">
        <v>0.434</v>
      </c>
    </row>
    <row r="31" customFormat="false" ht="15" hidden="false" customHeight="false" outlineLevel="0" collapsed="false">
      <c r="A31" s="5" t="s">
        <v>111</v>
      </c>
      <c r="B31" s="5" t="s">
        <v>263</v>
      </c>
      <c r="C31" s="5" t="s">
        <v>264</v>
      </c>
      <c r="D31" s="24" t="n">
        <v>4.34</v>
      </c>
      <c r="E31" s="5" t="n">
        <v>3</v>
      </c>
      <c r="F31" s="24" t="n">
        <v>1.34</v>
      </c>
      <c r="G31" s="24" t="n">
        <v>8.13</v>
      </c>
      <c r="H31" s="5" t="n">
        <v>7</v>
      </c>
      <c r="I31" s="24" t="n">
        <v>1.13</v>
      </c>
      <c r="J31" s="5" t="s">
        <v>237</v>
      </c>
      <c r="K31" s="26" t="s">
        <v>238</v>
      </c>
      <c r="L31" s="5" t="s">
        <v>236</v>
      </c>
      <c r="M31" s="21" t="s">
        <v>75</v>
      </c>
      <c r="N31" s="5" t="s">
        <v>264</v>
      </c>
      <c r="O31" s="5" t="s">
        <v>241</v>
      </c>
      <c r="P31" s="22" t="s">
        <v>80</v>
      </c>
      <c r="Q31" s="25" t="n">
        <v>0.4</v>
      </c>
    </row>
    <row r="32" customFormat="false" ht="15" hidden="false" customHeight="false" outlineLevel="0" collapsed="false">
      <c r="A32" s="5" t="s">
        <v>111</v>
      </c>
      <c r="B32" s="5" t="s">
        <v>265</v>
      </c>
      <c r="C32" s="5" t="s">
        <v>266</v>
      </c>
      <c r="D32" s="24" t="n">
        <v>2.12</v>
      </c>
      <c r="E32" s="5" t="n">
        <v>3</v>
      </c>
      <c r="F32" s="24" t="n">
        <v>0.88</v>
      </c>
      <c r="G32" s="24" t="n">
        <v>5.25</v>
      </c>
      <c r="H32" s="5" t="n">
        <v>6</v>
      </c>
      <c r="I32" s="24" t="n">
        <v>0.75</v>
      </c>
      <c r="J32" s="5" t="s">
        <v>235</v>
      </c>
      <c r="K32" s="21" t="s">
        <v>75</v>
      </c>
      <c r="L32" s="5" t="s">
        <v>236</v>
      </c>
      <c r="M32" s="21" t="s">
        <v>75</v>
      </c>
      <c r="N32" s="5" t="s">
        <v>265</v>
      </c>
      <c r="O32" s="5" t="s">
        <v>265</v>
      </c>
      <c r="P32" s="21" t="s">
        <v>75</v>
      </c>
      <c r="Q32" s="25" t="n">
        <v>0.4</v>
      </c>
    </row>
    <row r="33" customFormat="false" ht="15" hidden="false" customHeight="false" outlineLevel="0" collapsed="false">
      <c r="A33" s="5" t="s">
        <v>111</v>
      </c>
      <c r="B33" s="5" t="s">
        <v>267</v>
      </c>
      <c r="C33" s="5" t="s">
        <v>268</v>
      </c>
      <c r="D33" s="24" t="n">
        <v>3.38</v>
      </c>
      <c r="E33" s="5" t="n">
        <v>7</v>
      </c>
      <c r="F33" s="24" t="n">
        <v>3.62</v>
      </c>
      <c r="G33" s="24" t="n">
        <v>8.23</v>
      </c>
      <c r="H33" s="5" t="n">
        <v>16</v>
      </c>
      <c r="I33" s="24" t="n">
        <v>7.77</v>
      </c>
      <c r="J33" s="5" t="s">
        <v>235</v>
      </c>
      <c r="K33" s="22" t="s">
        <v>80</v>
      </c>
      <c r="L33" s="5" t="s">
        <v>236</v>
      </c>
      <c r="M33" s="22" t="s">
        <v>80</v>
      </c>
      <c r="N33" s="5" t="s">
        <v>268</v>
      </c>
      <c r="O33" s="5" t="s">
        <v>267</v>
      </c>
      <c r="P33" s="22" t="s">
        <v>80</v>
      </c>
      <c r="Q33" s="25" t="n">
        <v>0.4</v>
      </c>
    </row>
    <row r="34" customFormat="false" ht="15" hidden="false" customHeight="false" outlineLevel="0" collapsed="false">
      <c r="A34" s="5" t="s">
        <v>111</v>
      </c>
      <c r="B34" s="5" t="s">
        <v>123</v>
      </c>
      <c r="C34" s="5" t="s">
        <v>124</v>
      </c>
      <c r="D34" s="24" t="n">
        <v>4.81</v>
      </c>
      <c r="E34" s="5" t="n">
        <v>6</v>
      </c>
      <c r="F34" s="24" t="n">
        <v>1.19</v>
      </c>
      <c r="G34" s="24" t="n">
        <v>9.5</v>
      </c>
      <c r="H34" s="5" t="n">
        <v>7</v>
      </c>
      <c r="I34" s="24" t="n">
        <v>2.5</v>
      </c>
      <c r="J34" s="5" t="s">
        <v>237</v>
      </c>
      <c r="K34" s="26" t="s">
        <v>238</v>
      </c>
      <c r="L34" s="5" t="s">
        <v>236</v>
      </c>
      <c r="M34" s="21" t="s">
        <v>75</v>
      </c>
      <c r="N34" s="5" t="s">
        <v>123</v>
      </c>
      <c r="O34" s="5" t="s">
        <v>123</v>
      </c>
      <c r="P34" s="21" t="s">
        <v>75</v>
      </c>
      <c r="Q34" s="25" t="n">
        <v>0.444</v>
      </c>
    </row>
    <row r="35" customFormat="false" ht="15" hidden="false" customHeight="false" outlineLevel="0" collapsed="false">
      <c r="A35" s="5" t="s">
        <v>111</v>
      </c>
      <c r="B35" s="5" t="s">
        <v>126</v>
      </c>
      <c r="C35" s="5" t="s">
        <v>127</v>
      </c>
      <c r="D35" s="24" t="n">
        <v>4.86</v>
      </c>
      <c r="E35" s="5" t="n">
        <v>4</v>
      </c>
      <c r="F35" s="24" t="n">
        <v>0.86</v>
      </c>
      <c r="G35" s="24" t="n">
        <v>9.33</v>
      </c>
      <c r="H35" s="5" t="n">
        <v>8</v>
      </c>
      <c r="I35" s="24" t="n">
        <v>1.33</v>
      </c>
      <c r="J35" s="5" t="s">
        <v>237</v>
      </c>
      <c r="K35" s="26" t="s">
        <v>238</v>
      </c>
      <c r="L35" s="5" t="s">
        <v>236</v>
      </c>
      <c r="M35" s="21" t="s">
        <v>75</v>
      </c>
      <c r="N35" s="5" t="s">
        <v>126</v>
      </c>
      <c r="O35" s="5" t="s">
        <v>127</v>
      </c>
      <c r="P35" s="22" t="s">
        <v>80</v>
      </c>
      <c r="Q35" s="25" t="n">
        <v>0.4</v>
      </c>
    </row>
    <row r="36" customFormat="false" ht="15" hidden="false" customHeight="false" outlineLevel="0" collapsed="false">
      <c r="A36" s="5" t="s">
        <v>111</v>
      </c>
      <c r="B36" s="5" t="s">
        <v>129</v>
      </c>
      <c r="C36" s="5" t="s">
        <v>130</v>
      </c>
      <c r="D36" s="24" t="n">
        <v>3.97</v>
      </c>
      <c r="E36" s="5" t="n">
        <v>3</v>
      </c>
      <c r="F36" s="24" t="n">
        <v>0.97</v>
      </c>
      <c r="G36" s="24" t="n">
        <v>7.13</v>
      </c>
      <c r="H36" s="5" t="n">
        <v>7</v>
      </c>
      <c r="I36" s="24" t="n">
        <v>0.13</v>
      </c>
      <c r="J36" s="5" t="s">
        <v>235</v>
      </c>
      <c r="K36" s="21" t="s">
        <v>75</v>
      </c>
      <c r="L36" s="5" t="s">
        <v>236</v>
      </c>
      <c r="M36" s="21" t="s">
        <v>75</v>
      </c>
      <c r="N36" s="5" t="s">
        <v>130</v>
      </c>
      <c r="O36" s="5" t="s">
        <v>241</v>
      </c>
      <c r="P36" s="22" t="s">
        <v>80</v>
      </c>
      <c r="Q36" s="25" t="n">
        <v>0.404</v>
      </c>
    </row>
    <row r="37" customFormat="false" ht="15" hidden="false" customHeight="false" outlineLevel="0" collapsed="false">
      <c r="A37" s="5" t="s">
        <v>111</v>
      </c>
      <c r="B37" s="5" t="s">
        <v>269</v>
      </c>
      <c r="C37" s="5" t="s">
        <v>270</v>
      </c>
      <c r="D37" s="24" t="n">
        <v>2.26</v>
      </c>
      <c r="E37" s="5" t="n">
        <v>3</v>
      </c>
      <c r="F37" s="24" t="n">
        <v>0.74</v>
      </c>
      <c r="G37" s="24" t="n">
        <v>7.2</v>
      </c>
      <c r="H37" s="5" t="n">
        <v>5</v>
      </c>
      <c r="I37" s="24" t="n">
        <v>2.2</v>
      </c>
      <c r="J37" s="5" t="s">
        <v>235</v>
      </c>
      <c r="K37" s="21" t="s">
        <v>75</v>
      </c>
      <c r="L37" s="5" t="s">
        <v>236</v>
      </c>
      <c r="M37" s="21" t="s">
        <v>75</v>
      </c>
      <c r="N37" s="5" t="s">
        <v>270</v>
      </c>
      <c r="O37" s="5" t="s">
        <v>269</v>
      </c>
      <c r="P37" s="22" t="s">
        <v>80</v>
      </c>
      <c r="Q37" s="25" t="n">
        <v>0.4</v>
      </c>
    </row>
    <row r="38" customFormat="false" ht="15" hidden="false" customHeight="false" outlineLevel="0" collapsed="false">
      <c r="A38" s="5" t="s">
        <v>111</v>
      </c>
      <c r="B38" s="5" t="s">
        <v>132</v>
      </c>
      <c r="C38" s="5" t="s">
        <v>133</v>
      </c>
      <c r="D38" s="24" t="n">
        <v>3.6</v>
      </c>
      <c r="E38" s="5" t="n">
        <v>7</v>
      </c>
      <c r="F38" s="24" t="n">
        <v>3.4</v>
      </c>
      <c r="G38" s="24" t="n">
        <v>6.15</v>
      </c>
      <c r="H38" s="5" t="n">
        <v>15</v>
      </c>
      <c r="I38" s="24" t="n">
        <v>8.85</v>
      </c>
      <c r="J38" s="5" t="s">
        <v>235</v>
      </c>
      <c r="K38" s="22" t="s">
        <v>80</v>
      </c>
      <c r="L38" s="5" t="s">
        <v>236</v>
      </c>
      <c r="M38" s="22" t="s">
        <v>80</v>
      </c>
      <c r="N38" s="5" t="s">
        <v>132</v>
      </c>
      <c r="O38" s="5" t="s">
        <v>133</v>
      </c>
      <c r="P38" s="22" t="s">
        <v>80</v>
      </c>
      <c r="Q38" s="25" t="n">
        <v>0.4</v>
      </c>
    </row>
    <row r="39" customFormat="false" ht="15" hidden="false" customHeight="false" outlineLevel="0" collapsed="false">
      <c r="A39" s="5" t="s">
        <v>111</v>
      </c>
      <c r="B39" s="5" t="s">
        <v>271</v>
      </c>
      <c r="C39" s="5" t="s">
        <v>272</v>
      </c>
      <c r="D39" s="24" t="n">
        <v>1.77</v>
      </c>
      <c r="E39" s="5" t="n">
        <v>2</v>
      </c>
      <c r="F39" s="24" t="n">
        <v>0.23</v>
      </c>
      <c r="G39" s="24" t="n">
        <v>3.97</v>
      </c>
      <c r="H39" s="5" t="n">
        <v>7</v>
      </c>
      <c r="I39" s="24" t="n">
        <v>3.03</v>
      </c>
      <c r="J39" s="5" t="s">
        <v>235</v>
      </c>
      <c r="K39" s="21" t="s">
        <v>75</v>
      </c>
      <c r="L39" s="5" t="s">
        <v>236</v>
      </c>
      <c r="M39" s="21" t="s">
        <v>75</v>
      </c>
      <c r="N39" s="5" t="s">
        <v>272</v>
      </c>
      <c r="O39" s="5" t="s">
        <v>271</v>
      </c>
      <c r="P39" s="22" t="s">
        <v>80</v>
      </c>
      <c r="Q39" s="25" t="n">
        <v>0.4</v>
      </c>
    </row>
    <row r="40" customFormat="false" ht="15" hidden="false" customHeight="false" outlineLevel="0" collapsed="false">
      <c r="A40" s="5" t="s">
        <v>111</v>
      </c>
      <c r="B40" s="5" t="s">
        <v>273</v>
      </c>
      <c r="C40" s="5" t="s">
        <v>274</v>
      </c>
      <c r="D40" s="24" t="n">
        <v>4.2</v>
      </c>
      <c r="E40" s="5" t="n">
        <v>2</v>
      </c>
      <c r="F40" s="24" t="n">
        <v>2.2</v>
      </c>
      <c r="G40" s="24" t="n">
        <v>8.18</v>
      </c>
      <c r="H40" s="5" t="n">
        <v>7</v>
      </c>
      <c r="I40" s="24" t="n">
        <v>1.18</v>
      </c>
      <c r="J40" s="5" t="s">
        <v>235</v>
      </c>
      <c r="K40" s="21" t="s">
        <v>75</v>
      </c>
      <c r="L40" s="5" t="s">
        <v>236</v>
      </c>
      <c r="M40" s="21" t="s">
        <v>75</v>
      </c>
      <c r="N40" s="5" t="s">
        <v>274</v>
      </c>
      <c r="O40" s="5" t="s">
        <v>241</v>
      </c>
      <c r="P40" s="22" t="s">
        <v>80</v>
      </c>
      <c r="Q40" s="25" t="n">
        <v>0.444</v>
      </c>
    </row>
    <row r="41" customFormat="false" ht="15" hidden="false" customHeight="false" outlineLevel="0" collapsed="false">
      <c r="A41" s="5" t="s">
        <v>111</v>
      </c>
      <c r="B41" s="5" t="s">
        <v>275</v>
      </c>
      <c r="C41" s="5" t="s">
        <v>276</v>
      </c>
      <c r="D41" s="24" t="n">
        <v>3.51</v>
      </c>
      <c r="E41" s="5" t="n">
        <v>7</v>
      </c>
      <c r="F41" s="24" t="n">
        <v>3.49</v>
      </c>
      <c r="G41" s="24" t="n">
        <v>7.13</v>
      </c>
      <c r="H41" s="5" t="n">
        <v>13</v>
      </c>
      <c r="I41" s="24" t="n">
        <v>5.87</v>
      </c>
      <c r="J41" s="5" t="s">
        <v>235</v>
      </c>
      <c r="K41" s="22" t="s">
        <v>80</v>
      </c>
      <c r="L41" s="5" t="s">
        <v>236</v>
      </c>
      <c r="M41" s="22" t="s">
        <v>80</v>
      </c>
      <c r="N41" s="5" t="s">
        <v>275</v>
      </c>
      <c r="O41" s="5" t="s">
        <v>275</v>
      </c>
      <c r="P41" s="21" t="s">
        <v>75</v>
      </c>
      <c r="Q41" s="25" t="n">
        <v>0.4</v>
      </c>
    </row>
    <row r="42" customFormat="false" ht="15" hidden="false" customHeight="false" outlineLevel="0" collapsed="false">
      <c r="A42" s="5" t="s">
        <v>135</v>
      </c>
      <c r="B42" s="5" t="s">
        <v>277</v>
      </c>
      <c r="C42" s="5" t="s">
        <v>278</v>
      </c>
      <c r="D42" s="24" t="n">
        <v>5.27</v>
      </c>
      <c r="E42" s="5" t="n">
        <v>6</v>
      </c>
      <c r="F42" s="24" t="n">
        <v>0.73</v>
      </c>
      <c r="G42" s="24" t="n">
        <v>9.4</v>
      </c>
      <c r="H42" s="5" t="n">
        <v>8</v>
      </c>
      <c r="I42" s="24" t="n">
        <v>1.4</v>
      </c>
      <c r="J42" s="5" t="s">
        <v>233</v>
      </c>
      <c r="K42" s="21" t="s">
        <v>75</v>
      </c>
      <c r="L42" s="5" t="s">
        <v>236</v>
      </c>
      <c r="M42" s="21" t="s">
        <v>75</v>
      </c>
      <c r="N42" s="5" t="s">
        <v>277</v>
      </c>
      <c r="O42" s="5" t="s">
        <v>277</v>
      </c>
      <c r="P42" s="21" t="s">
        <v>75</v>
      </c>
      <c r="Q42" s="25" t="n">
        <v>0.634</v>
      </c>
    </row>
    <row r="43" customFormat="false" ht="15" hidden="false" customHeight="false" outlineLevel="0" collapsed="false">
      <c r="A43" s="5" t="s">
        <v>135</v>
      </c>
      <c r="B43" s="5" t="s">
        <v>279</v>
      </c>
      <c r="C43" s="5" t="s">
        <v>280</v>
      </c>
      <c r="D43" s="24" t="n">
        <v>3.51</v>
      </c>
      <c r="E43" s="5" t="n">
        <v>6</v>
      </c>
      <c r="F43" s="24" t="n">
        <v>2.49</v>
      </c>
      <c r="G43" s="24" t="n">
        <v>8.84</v>
      </c>
      <c r="H43" s="5" t="n">
        <v>9</v>
      </c>
      <c r="I43" s="24" t="n">
        <v>0.16</v>
      </c>
      <c r="J43" s="5" t="s">
        <v>235</v>
      </c>
      <c r="K43" s="22" t="s">
        <v>80</v>
      </c>
      <c r="L43" s="5" t="s">
        <v>236</v>
      </c>
      <c r="M43" s="21" t="s">
        <v>75</v>
      </c>
      <c r="N43" s="5" t="s">
        <v>281</v>
      </c>
      <c r="O43" s="5" t="s">
        <v>280</v>
      </c>
      <c r="P43" s="21" t="s">
        <v>75</v>
      </c>
      <c r="Q43" s="25" t="n">
        <v>0.607</v>
      </c>
    </row>
    <row r="44" customFormat="false" ht="15" hidden="false" customHeight="false" outlineLevel="0" collapsed="false">
      <c r="A44" s="5" t="s">
        <v>135</v>
      </c>
      <c r="B44" s="5" t="s">
        <v>282</v>
      </c>
      <c r="C44" s="5" t="s">
        <v>283</v>
      </c>
      <c r="D44" s="24" t="n">
        <v>4.05</v>
      </c>
      <c r="E44" s="5" t="n">
        <v>3</v>
      </c>
      <c r="F44" s="24" t="n">
        <v>1.05</v>
      </c>
      <c r="G44" s="24" t="n">
        <v>9.17</v>
      </c>
      <c r="H44" s="5" t="n">
        <v>8</v>
      </c>
      <c r="I44" s="24" t="n">
        <v>1.17</v>
      </c>
      <c r="J44" s="5" t="s">
        <v>235</v>
      </c>
      <c r="K44" s="21" t="s">
        <v>75</v>
      </c>
      <c r="L44" s="5" t="s">
        <v>236</v>
      </c>
      <c r="M44" s="21" t="s">
        <v>75</v>
      </c>
      <c r="N44" s="5" t="s">
        <v>283</v>
      </c>
      <c r="O44" s="5" t="s">
        <v>241</v>
      </c>
      <c r="P44" s="22" t="s">
        <v>80</v>
      </c>
      <c r="Q44" s="25" t="n">
        <v>0.613</v>
      </c>
    </row>
    <row r="45" customFormat="false" ht="15" hidden="false" customHeight="false" outlineLevel="0" collapsed="false">
      <c r="A45" s="5" t="s">
        <v>135</v>
      </c>
      <c r="B45" s="5" t="s">
        <v>136</v>
      </c>
      <c r="C45" s="5" t="s">
        <v>137</v>
      </c>
      <c r="D45" s="24" t="n">
        <v>5.44</v>
      </c>
      <c r="E45" s="5" t="n">
        <v>4</v>
      </c>
      <c r="F45" s="24" t="n">
        <v>1.44</v>
      </c>
      <c r="G45" s="24" t="n">
        <v>11.49</v>
      </c>
      <c r="H45" s="5" t="n">
        <v>8</v>
      </c>
      <c r="I45" s="24" t="n">
        <v>3.49</v>
      </c>
      <c r="J45" s="5" t="s">
        <v>233</v>
      </c>
      <c r="K45" s="22" t="s">
        <v>80</v>
      </c>
      <c r="L45" s="5" t="s">
        <v>234</v>
      </c>
      <c r="M45" s="22" t="s">
        <v>80</v>
      </c>
      <c r="N45" s="5" t="s">
        <v>137</v>
      </c>
      <c r="O45" s="5" t="s">
        <v>241</v>
      </c>
      <c r="P45" s="22" t="s">
        <v>80</v>
      </c>
      <c r="Q45" s="25" t="n">
        <v>0.59</v>
      </c>
    </row>
    <row r="46" customFormat="false" ht="15" hidden="false" customHeight="false" outlineLevel="0" collapsed="false">
      <c r="A46" s="5" t="s">
        <v>135</v>
      </c>
      <c r="B46" s="5" t="s">
        <v>284</v>
      </c>
      <c r="C46" s="5" t="s">
        <v>285</v>
      </c>
      <c r="D46" s="24" t="n">
        <v>4.14</v>
      </c>
      <c r="E46" s="5" t="n">
        <v>7</v>
      </c>
      <c r="F46" s="24" t="n">
        <v>2.86</v>
      </c>
      <c r="G46" s="24" t="n">
        <v>13.72</v>
      </c>
      <c r="H46" s="5" t="n">
        <v>13</v>
      </c>
      <c r="I46" s="24" t="n">
        <v>0.720000000000001</v>
      </c>
      <c r="J46" s="5" t="s">
        <v>235</v>
      </c>
      <c r="K46" s="22" t="s">
        <v>80</v>
      </c>
      <c r="L46" s="5" t="s">
        <v>234</v>
      </c>
      <c r="M46" s="21" t="s">
        <v>75</v>
      </c>
      <c r="N46" s="5" t="s">
        <v>286</v>
      </c>
      <c r="O46" s="5" t="s">
        <v>285</v>
      </c>
      <c r="P46" s="22" t="s">
        <v>80</v>
      </c>
      <c r="Q46" s="25" t="n">
        <v>0.675</v>
      </c>
    </row>
    <row r="47" customFormat="false" ht="15" hidden="false" customHeight="false" outlineLevel="0" collapsed="false">
      <c r="A47" s="5" t="s">
        <v>135</v>
      </c>
      <c r="B47" s="5" t="s">
        <v>139</v>
      </c>
      <c r="C47" s="5" t="s">
        <v>140</v>
      </c>
      <c r="D47" s="24" t="n">
        <v>3.95</v>
      </c>
      <c r="E47" s="5" t="n">
        <v>6</v>
      </c>
      <c r="F47" s="24" t="n">
        <v>2.05</v>
      </c>
      <c r="G47" s="24" t="n">
        <v>7.62</v>
      </c>
      <c r="H47" s="5" t="n">
        <v>12</v>
      </c>
      <c r="I47" s="24" t="n">
        <v>4.38</v>
      </c>
      <c r="J47" s="5" t="s">
        <v>235</v>
      </c>
      <c r="K47" s="22" t="s">
        <v>80</v>
      </c>
      <c r="L47" s="5" t="s">
        <v>236</v>
      </c>
      <c r="M47" s="22" t="s">
        <v>80</v>
      </c>
      <c r="N47" s="5" t="s">
        <v>140</v>
      </c>
      <c r="O47" s="5" t="s">
        <v>139</v>
      </c>
      <c r="P47" s="22" t="s">
        <v>80</v>
      </c>
      <c r="Q47" s="25" t="n">
        <v>0.6</v>
      </c>
    </row>
    <row r="48" customFormat="false" ht="15" hidden="false" customHeight="false" outlineLevel="0" collapsed="false">
      <c r="A48" s="5" t="s">
        <v>135</v>
      </c>
      <c r="B48" s="5" t="s">
        <v>142</v>
      </c>
      <c r="C48" s="5" t="s">
        <v>143</v>
      </c>
      <c r="D48" s="24" t="n">
        <v>5.47</v>
      </c>
      <c r="E48" s="5" t="n">
        <v>3</v>
      </c>
      <c r="F48" s="24" t="n">
        <v>2.47</v>
      </c>
      <c r="G48" s="24" t="n">
        <v>10.49</v>
      </c>
      <c r="H48" s="5" t="n">
        <v>8</v>
      </c>
      <c r="I48" s="24" t="n">
        <v>2.49</v>
      </c>
      <c r="J48" s="5" t="s">
        <v>233</v>
      </c>
      <c r="K48" s="22" t="s">
        <v>80</v>
      </c>
      <c r="L48" s="5" t="s">
        <v>237</v>
      </c>
      <c r="M48" s="26" t="s">
        <v>238</v>
      </c>
      <c r="N48" s="5" t="s">
        <v>142</v>
      </c>
      <c r="O48" s="5" t="s">
        <v>142</v>
      </c>
      <c r="P48" s="21" t="s">
        <v>75</v>
      </c>
      <c r="Q48" s="25" t="n">
        <v>0.627</v>
      </c>
    </row>
    <row r="49" customFormat="false" ht="15" hidden="false" customHeight="false" outlineLevel="0" collapsed="false">
      <c r="A49" s="5" t="s">
        <v>135</v>
      </c>
      <c r="B49" s="5" t="s">
        <v>145</v>
      </c>
      <c r="C49" s="5" t="s">
        <v>146</v>
      </c>
      <c r="D49" s="24" t="n">
        <v>4.12</v>
      </c>
      <c r="E49" s="5" t="n">
        <v>4</v>
      </c>
      <c r="F49" s="24" t="n">
        <v>0.12</v>
      </c>
      <c r="G49" s="24" t="n">
        <v>9.68</v>
      </c>
      <c r="H49" s="5" t="n">
        <v>7</v>
      </c>
      <c r="I49" s="24" t="n">
        <v>2.68</v>
      </c>
      <c r="J49" s="5" t="s">
        <v>235</v>
      </c>
      <c r="K49" s="22" t="s">
        <v>80</v>
      </c>
      <c r="L49" s="5" t="s">
        <v>236</v>
      </c>
      <c r="M49" s="21" t="s">
        <v>75</v>
      </c>
      <c r="N49" s="5" t="s">
        <v>145</v>
      </c>
      <c r="O49" s="5" t="s">
        <v>145</v>
      </c>
      <c r="P49" s="21" t="s">
        <v>75</v>
      </c>
      <c r="Q49" s="25" t="n">
        <v>0.675</v>
      </c>
    </row>
    <row r="50" customFormat="false" ht="15" hidden="false" customHeight="false" outlineLevel="0" collapsed="false">
      <c r="A50" s="5" t="s">
        <v>135</v>
      </c>
      <c r="B50" s="5" t="s">
        <v>287</v>
      </c>
      <c r="C50" s="5" t="s">
        <v>288</v>
      </c>
      <c r="D50" s="24" t="n">
        <v>5.11</v>
      </c>
      <c r="E50" s="5" t="n">
        <v>1</v>
      </c>
      <c r="F50" s="24" t="n">
        <v>4.11</v>
      </c>
      <c r="G50" s="24" t="n">
        <v>10.13</v>
      </c>
      <c r="H50" s="5" t="n">
        <v>5</v>
      </c>
      <c r="I50" s="24" t="n">
        <v>5.13</v>
      </c>
      <c r="J50" s="5" t="s">
        <v>237</v>
      </c>
      <c r="K50" s="26" t="s">
        <v>238</v>
      </c>
      <c r="L50" s="5" t="s">
        <v>237</v>
      </c>
      <c r="M50" s="26" t="s">
        <v>238</v>
      </c>
      <c r="N50" s="5" t="s">
        <v>288</v>
      </c>
      <c r="O50" s="5" t="s">
        <v>288</v>
      </c>
      <c r="P50" s="21" t="s">
        <v>75</v>
      </c>
      <c r="Q50" s="25" t="n">
        <v>0.7</v>
      </c>
    </row>
    <row r="51" customFormat="false" ht="15" hidden="false" customHeight="false" outlineLevel="0" collapsed="false">
      <c r="A51" s="5" t="s">
        <v>135</v>
      </c>
      <c r="B51" s="5" t="s">
        <v>289</v>
      </c>
      <c r="C51" s="5" t="s">
        <v>290</v>
      </c>
      <c r="D51" s="24" t="n">
        <v>3.36</v>
      </c>
      <c r="E51" s="5" t="n">
        <v>6</v>
      </c>
      <c r="F51" s="24" t="n">
        <v>2.64</v>
      </c>
      <c r="G51" s="24" t="n">
        <v>8.99</v>
      </c>
      <c r="H51" s="5" t="n">
        <v>16</v>
      </c>
      <c r="I51" s="24" t="n">
        <v>7.01</v>
      </c>
      <c r="J51" s="5" t="s">
        <v>235</v>
      </c>
      <c r="K51" s="22" t="s">
        <v>80</v>
      </c>
      <c r="L51" s="5" t="s">
        <v>236</v>
      </c>
      <c r="M51" s="22" t="s">
        <v>80</v>
      </c>
      <c r="N51" s="5" t="s">
        <v>289</v>
      </c>
      <c r="O51" s="5" t="s">
        <v>289</v>
      </c>
      <c r="P51" s="21" t="s">
        <v>75</v>
      </c>
      <c r="Q51" s="25" t="n">
        <v>0.599</v>
      </c>
    </row>
    <row r="52" customFormat="false" ht="15" hidden="false" customHeight="false" outlineLevel="0" collapsed="false">
      <c r="A52" s="5" t="s">
        <v>147</v>
      </c>
      <c r="B52" s="5" t="s">
        <v>148</v>
      </c>
      <c r="C52" s="5" t="s">
        <v>149</v>
      </c>
      <c r="D52" s="24" t="n">
        <v>5.87</v>
      </c>
      <c r="E52" s="5" t="n">
        <v>6</v>
      </c>
      <c r="F52" s="24" t="n">
        <v>0.13</v>
      </c>
      <c r="G52" s="24" t="n">
        <v>11.26</v>
      </c>
      <c r="H52" s="5" t="n">
        <v>16</v>
      </c>
      <c r="I52" s="24" t="n">
        <v>4.74</v>
      </c>
      <c r="J52" s="5" t="s">
        <v>233</v>
      </c>
      <c r="K52" s="21" t="s">
        <v>75</v>
      </c>
      <c r="L52" s="5" t="s">
        <v>237</v>
      </c>
      <c r="M52" s="26" t="s">
        <v>238</v>
      </c>
      <c r="N52" s="5" t="s">
        <v>149</v>
      </c>
      <c r="O52" s="5" t="s">
        <v>241</v>
      </c>
      <c r="P52" s="22" t="s">
        <v>80</v>
      </c>
      <c r="Q52" s="25" t="n">
        <v>0.476</v>
      </c>
    </row>
    <row r="53" customFormat="false" ht="15" hidden="false" customHeight="false" outlineLevel="0" collapsed="false">
      <c r="A53" s="5" t="s">
        <v>147</v>
      </c>
      <c r="B53" s="5" t="s">
        <v>151</v>
      </c>
      <c r="C53" s="5" t="s">
        <v>152</v>
      </c>
      <c r="D53" s="24" t="n">
        <v>3.51</v>
      </c>
      <c r="E53" s="5" t="n">
        <v>4</v>
      </c>
      <c r="F53" s="24" t="n">
        <v>0.49</v>
      </c>
      <c r="G53" s="24" t="n">
        <v>8.78</v>
      </c>
      <c r="H53" s="5" t="n">
        <v>5</v>
      </c>
      <c r="I53" s="24" t="n">
        <v>3.78</v>
      </c>
      <c r="J53" s="5" t="s">
        <v>235</v>
      </c>
      <c r="K53" s="22" t="s">
        <v>80</v>
      </c>
      <c r="L53" s="5" t="s">
        <v>236</v>
      </c>
      <c r="M53" s="21" t="s">
        <v>75</v>
      </c>
      <c r="N53" s="5" t="s">
        <v>151</v>
      </c>
      <c r="O53" s="5" t="s">
        <v>151</v>
      </c>
      <c r="P53" s="21" t="s">
        <v>75</v>
      </c>
      <c r="Q53" s="25" t="n">
        <v>0.407</v>
      </c>
    </row>
    <row r="54" customFormat="false" ht="15" hidden="false" customHeight="false" outlineLevel="0" collapsed="false">
      <c r="A54" s="5" t="s">
        <v>147</v>
      </c>
      <c r="B54" s="5" t="s">
        <v>291</v>
      </c>
      <c r="C54" s="5" t="s">
        <v>292</v>
      </c>
      <c r="D54" s="24" t="n">
        <v>4.74</v>
      </c>
      <c r="E54" s="5" t="n">
        <v>5</v>
      </c>
      <c r="F54" s="24" t="n">
        <v>0.26</v>
      </c>
      <c r="G54" s="24" t="n">
        <v>11.26</v>
      </c>
      <c r="H54" s="5" t="n">
        <v>7</v>
      </c>
      <c r="I54" s="24" t="n">
        <v>4.26</v>
      </c>
      <c r="J54" s="5" t="s">
        <v>237</v>
      </c>
      <c r="K54" s="26" t="s">
        <v>238</v>
      </c>
      <c r="L54" s="5" t="s">
        <v>237</v>
      </c>
      <c r="M54" s="26" t="s">
        <v>238</v>
      </c>
      <c r="N54" s="5" t="s">
        <v>292</v>
      </c>
      <c r="O54" s="5" t="s">
        <v>292</v>
      </c>
      <c r="P54" s="21" t="s">
        <v>75</v>
      </c>
      <c r="Q54" s="25" t="n">
        <v>0.476</v>
      </c>
    </row>
    <row r="55" customFormat="false" ht="15" hidden="false" customHeight="false" outlineLevel="0" collapsed="false">
      <c r="A55" s="5" t="s">
        <v>147</v>
      </c>
      <c r="B55" s="5" t="s">
        <v>154</v>
      </c>
      <c r="C55" s="5" t="s">
        <v>155</v>
      </c>
      <c r="D55" s="24" t="n">
        <v>4.24</v>
      </c>
      <c r="E55" s="5" t="n">
        <v>3</v>
      </c>
      <c r="F55" s="24" t="n">
        <v>1.24</v>
      </c>
      <c r="G55" s="24" t="n">
        <v>10.5</v>
      </c>
      <c r="H55" s="5" t="n">
        <v>13</v>
      </c>
      <c r="I55" s="24" t="n">
        <v>2.5</v>
      </c>
      <c r="J55" s="5" t="s">
        <v>235</v>
      </c>
      <c r="K55" s="21" t="s">
        <v>75</v>
      </c>
      <c r="L55" s="5" t="s">
        <v>237</v>
      </c>
      <c r="M55" s="26" t="s">
        <v>238</v>
      </c>
      <c r="N55" s="5" t="s">
        <v>155</v>
      </c>
      <c r="O55" s="5" t="s">
        <v>155</v>
      </c>
      <c r="P55" s="21" t="s">
        <v>75</v>
      </c>
      <c r="Q55" s="25" t="n">
        <v>0.464</v>
      </c>
    </row>
    <row r="56" customFormat="false" ht="15" hidden="false" customHeight="false" outlineLevel="0" collapsed="false">
      <c r="A56" s="5" t="s">
        <v>147</v>
      </c>
      <c r="B56" s="5" t="s">
        <v>293</v>
      </c>
      <c r="C56" s="5" t="s">
        <v>294</v>
      </c>
      <c r="D56" s="24" t="n">
        <v>2.55</v>
      </c>
      <c r="E56" s="5" t="n">
        <v>4</v>
      </c>
      <c r="F56" s="24" t="n">
        <v>1.45</v>
      </c>
      <c r="G56" s="24" t="n">
        <v>7.08</v>
      </c>
      <c r="H56" s="5" t="n">
        <v>12</v>
      </c>
      <c r="I56" s="24" t="n">
        <v>4.92</v>
      </c>
      <c r="J56" s="5" t="s">
        <v>235</v>
      </c>
      <c r="K56" s="22" t="s">
        <v>80</v>
      </c>
      <c r="L56" s="5" t="s">
        <v>236</v>
      </c>
      <c r="M56" s="22" t="s">
        <v>80</v>
      </c>
      <c r="N56" s="5" t="s">
        <v>293</v>
      </c>
      <c r="O56" s="5" t="s">
        <v>293</v>
      </c>
      <c r="P56" s="21" t="s">
        <v>75</v>
      </c>
      <c r="Q56" s="25" t="n">
        <v>0.4</v>
      </c>
    </row>
    <row r="57" customFormat="false" ht="15" hidden="false" customHeight="false" outlineLevel="0" collapsed="false">
      <c r="A57" s="5" t="s">
        <v>147</v>
      </c>
      <c r="B57" s="5" t="s">
        <v>157</v>
      </c>
      <c r="C57" s="5" t="s">
        <v>158</v>
      </c>
      <c r="D57" s="24" t="n">
        <v>3.72</v>
      </c>
      <c r="E57" s="5" t="n">
        <v>4</v>
      </c>
      <c r="F57" s="24" t="n">
        <v>0.28</v>
      </c>
      <c r="G57" s="24" t="n">
        <v>9.42</v>
      </c>
      <c r="H57" s="5" t="n">
        <v>8</v>
      </c>
      <c r="I57" s="24" t="n">
        <v>1.42</v>
      </c>
      <c r="J57" s="5" t="s">
        <v>235</v>
      </c>
      <c r="K57" s="22" t="s">
        <v>80</v>
      </c>
      <c r="L57" s="5" t="s">
        <v>236</v>
      </c>
      <c r="M57" s="21" t="s">
        <v>75</v>
      </c>
      <c r="N57" s="5" t="s">
        <v>158</v>
      </c>
      <c r="O57" s="5" t="s">
        <v>158</v>
      </c>
      <c r="P57" s="21" t="s">
        <v>75</v>
      </c>
      <c r="Q57" s="25" t="n">
        <v>0.431</v>
      </c>
    </row>
    <row r="58" customFormat="false" ht="15" hidden="false" customHeight="false" outlineLevel="0" collapsed="false">
      <c r="A58" s="5" t="s">
        <v>147</v>
      </c>
      <c r="B58" s="5" t="s">
        <v>160</v>
      </c>
      <c r="C58" s="5" t="s">
        <v>161</v>
      </c>
      <c r="D58" s="24" t="n">
        <v>4.77</v>
      </c>
      <c r="E58" s="5" t="n">
        <v>6</v>
      </c>
      <c r="F58" s="24" t="n">
        <v>1.23</v>
      </c>
      <c r="G58" s="24" t="n">
        <v>12.46</v>
      </c>
      <c r="H58" s="5" t="n">
        <v>14</v>
      </c>
      <c r="I58" s="24" t="n">
        <v>1.54</v>
      </c>
      <c r="J58" s="5" t="s">
        <v>237</v>
      </c>
      <c r="K58" s="26" t="s">
        <v>238</v>
      </c>
      <c r="L58" s="5" t="s">
        <v>234</v>
      </c>
      <c r="M58" s="21" t="s">
        <v>75</v>
      </c>
      <c r="N58" s="5" t="s">
        <v>160</v>
      </c>
      <c r="O58" s="5" t="s">
        <v>160</v>
      </c>
      <c r="P58" s="21" t="s">
        <v>75</v>
      </c>
      <c r="Q58" s="25" t="n">
        <v>0.476</v>
      </c>
    </row>
    <row r="59" customFormat="false" ht="15" hidden="false" customHeight="false" outlineLevel="0" collapsed="false">
      <c r="A59" s="5" t="s">
        <v>147</v>
      </c>
      <c r="B59" s="5" t="s">
        <v>163</v>
      </c>
      <c r="C59" s="5" t="s">
        <v>164</v>
      </c>
      <c r="D59" s="24" t="n">
        <v>6.69</v>
      </c>
      <c r="E59" s="5" t="n">
        <v>8</v>
      </c>
      <c r="F59" s="24" t="n">
        <v>1.31</v>
      </c>
      <c r="G59" s="24" t="n">
        <v>11.92</v>
      </c>
      <c r="H59" s="5" t="n">
        <v>16</v>
      </c>
      <c r="I59" s="24" t="n">
        <v>4.08</v>
      </c>
      <c r="J59" s="5" t="s">
        <v>233</v>
      </c>
      <c r="K59" s="21" t="s">
        <v>75</v>
      </c>
      <c r="L59" s="5" t="s">
        <v>234</v>
      </c>
      <c r="M59" s="21" t="s">
        <v>75</v>
      </c>
      <c r="N59" s="5" t="s">
        <v>163</v>
      </c>
      <c r="O59" s="5" t="s">
        <v>241</v>
      </c>
      <c r="P59" s="22" t="s">
        <v>80</v>
      </c>
      <c r="Q59" s="25" t="n">
        <v>0.476</v>
      </c>
    </row>
    <row r="60" customFormat="false" ht="15" hidden="false" customHeight="false" outlineLevel="0" collapsed="false">
      <c r="A60" s="5" t="s">
        <v>147</v>
      </c>
      <c r="B60" s="5" t="s">
        <v>295</v>
      </c>
      <c r="C60" s="5" t="s">
        <v>296</v>
      </c>
      <c r="D60" s="24" t="n">
        <v>5.73</v>
      </c>
      <c r="E60" s="5" t="n">
        <v>8</v>
      </c>
      <c r="F60" s="24" t="n">
        <v>2.27</v>
      </c>
      <c r="G60" s="24" t="n">
        <v>14.9</v>
      </c>
      <c r="H60" s="5" t="n">
        <v>13</v>
      </c>
      <c r="I60" s="24" t="n">
        <v>1.9</v>
      </c>
      <c r="J60" s="5" t="s">
        <v>233</v>
      </c>
      <c r="K60" s="21" t="s">
        <v>75</v>
      </c>
      <c r="L60" s="5" t="s">
        <v>234</v>
      </c>
      <c r="M60" s="21" t="s">
        <v>75</v>
      </c>
      <c r="N60" s="5" t="s">
        <v>296</v>
      </c>
      <c r="O60" s="5" t="s">
        <v>241</v>
      </c>
      <c r="P60" s="22" t="s">
        <v>80</v>
      </c>
      <c r="Q60" s="25" t="n">
        <v>0.476</v>
      </c>
    </row>
    <row r="61" customFormat="false" ht="15" hidden="false" customHeight="false" outlineLevel="0" collapsed="false">
      <c r="A61" s="5" t="s">
        <v>166</v>
      </c>
      <c r="B61" s="5" t="s">
        <v>297</v>
      </c>
      <c r="C61" s="5" t="s">
        <v>298</v>
      </c>
      <c r="D61" s="24" t="n">
        <v>3.82</v>
      </c>
      <c r="E61" s="5" t="n">
        <v>0</v>
      </c>
      <c r="F61" s="24" t="n">
        <v>3.82</v>
      </c>
      <c r="G61" s="24" t="n">
        <v>8.09</v>
      </c>
      <c r="H61" s="5" t="n">
        <v>5</v>
      </c>
      <c r="I61" s="24" t="n">
        <v>3.09</v>
      </c>
      <c r="J61" s="5" t="s">
        <v>235</v>
      </c>
      <c r="K61" s="21" t="s">
        <v>75</v>
      </c>
      <c r="L61" s="5" t="s">
        <v>236</v>
      </c>
      <c r="M61" s="21" t="s">
        <v>75</v>
      </c>
      <c r="N61" s="5" t="s">
        <v>297</v>
      </c>
      <c r="O61" s="5" t="s">
        <v>241</v>
      </c>
      <c r="P61" s="22" t="s">
        <v>80</v>
      </c>
      <c r="Q61" s="25" t="n">
        <v>0.479</v>
      </c>
    </row>
    <row r="62" customFormat="false" ht="15" hidden="false" customHeight="false" outlineLevel="0" collapsed="false">
      <c r="A62" s="5" t="s">
        <v>166</v>
      </c>
      <c r="B62" s="5" t="s">
        <v>299</v>
      </c>
      <c r="C62" s="5" t="s">
        <v>300</v>
      </c>
      <c r="D62" s="24" t="n">
        <v>5.3</v>
      </c>
      <c r="E62" s="5" t="n">
        <v>2</v>
      </c>
      <c r="F62" s="24" t="n">
        <v>3.3</v>
      </c>
      <c r="G62" s="24" t="n">
        <v>10.41</v>
      </c>
      <c r="H62" s="5" t="n">
        <v>6</v>
      </c>
      <c r="I62" s="24" t="n">
        <v>4.41</v>
      </c>
      <c r="J62" s="5" t="s">
        <v>233</v>
      </c>
      <c r="K62" s="22" t="s">
        <v>80</v>
      </c>
      <c r="L62" s="5" t="s">
        <v>237</v>
      </c>
      <c r="M62" s="26" t="s">
        <v>238</v>
      </c>
      <c r="N62" s="5" t="s">
        <v>300</v>
      </c>
      <c r="O62" s="5" t="s">
        <v>299</v>
      </c>
      <c r="P62" s="22" t="s">
        <v>80</v>
      </c>
      <c r="Q62" s="25" t="n">
        <v>0.479</v>
      </c>
    </row>
    <row r="63" customFormat="false" ht="15" hidden="false" customHeight="false" outlineLevel="0" collapsed="false">
      <c r="A63" s="5" t="s">
        <v>166</v>
      </c>
      <c r="B63" s="5" t="s">
        <v>301</v>
      </c>
      <c r="C63" s="5" t="s">
        <v>302</v>
      </c>
      <c r="D63" s="24" t="n">
        <v>4.41</v>
      </c>
      <c r="E63" s="5" t="n">
        <v>6</v>
      </c>
      <c r="F63" s="24" t="n">
        <v>1.59</v>
      </c>
      <c r="G63" s="24" t="n">
        <v>10.83</v>
      </c>
      <c r="H63" s="5" t="n">
        <v>8</v>
      </c>
      <c r="I63" s="24" t="n">
        <v>2.83</v>
      </c>
      <c r="J63" s="5" t="s">
        <v>237</v>
      </c>
      <c r="K63" s="26" t="s">
        <v>238</v>
      </c>
      <c r="L63" s="5" t="s">
        <v>237</v>
      </c>
      <c r="M63" s="26" t="s">
        <v>238</v>
      </c>
      <c r="N63" s="5" t="s">
        <v>301</v>
      </c>
      <c r="O63" s="5" t="s">
        <v>241</v>
      </c>
      <c r="P63" s="22" t="s">
        <v>80</v>
      </c>
      <c r="Q63" s="25" t="n">
        <v>0.473</v>
      </c>
    </row>
    <row r="64" customFormat="false" ht="15" hidden="false" customHeight="false" outlineLevel="0" collapsed="false">
      <c r="A64" s="5" t="s">
        <v>166</v>
      </c>
      <c r="B64" s="5" t="s">
        <v>303</v>
      </c>
      <c r="C64" s="5" t="s">
        <v>304</v>
      </c>
      <c r="D64" s="24" t="n">
        <v>4.01</v>
      </c>
      <c r="E64" s="5" t="n">
        <v>4</v>
      </c>
      <c r="F64" s="24" t="n">
        <v>0.00999999999999979</v>
      </c>
      <c r="G64" s="24" t="n">
        <v>10.24</v>
      </c>
      <c r="H64" s="5" t="n">
        <v>10</v>
      </c>
      <c r="I64" s="24" t="n">
        <v>0.24</v>
      </c>
      <c r="J64" s="5" t="s">
        <v>235</v>
      </c>
      <c r="K64" s="22" t="s">
        <v>80</v>
      </c>
      <c r="L64" s="5" t="s">
        <v>237</v>
      </c>
      <c r="M64" s="26" t="s">
        <v>238</v>
      </c>
      <c r="N64" s="5" t="s">
        <v>304</v>
      </c>
      <c r="O64" s="5" t="s">
        <v>304</v>
      </c>
      <c r="P64" s="21" t="s">
        <v>75</v>
      </c>
      <c r="Q64" s="25" t="n">
        <v>0.444</v>
      </c>
    </row>
    <row r="65" customFormat="false" ht="15" hidden="false" customHeight="false" outlineLevel="0" collapsed="false">
      <c r="A65" s="5" t="s">
        <v>166</v>
      </c>
      <c r="B65" s="5" t="s">
        <v>305</v>
      </c>
      <c r="C65" s="5" t="s">
        <v>306</v>
      </c>
      <c r="D65" s="24" t="n">
        <v>4.68</v>
      </c>
      <c r="E65" s="5" t="n">
        <v>6</v>
      </c>
      <c r="F65" s="24" t="n">
        <v>1.32</v>
      </c>
      <c r="G65" s="24" t="n">
        <v>10.18</v>
      </c>
      <c r="H65" s="5" t="n">
        <v>10</v>
      </c>
      <c r="I65" s="24" t="n">
        <v>0.18</v>
      </c>
      <c r="J65" s="5" t="s">
        <v>237</v>
      </c>
      <c r="K65" s="26" t="s">
        <v>238</v>
      </c>
      <c r="L65" s="5" t="s">
        <v>237</v>
      </c>
      <c r="M65" s="26" t="s">
        <v>238</v>
      </c>
      <c r="N65" s="5" t="s">
        <v>306</v>
      </c>
      <c r="O65" s="5" t="s">
        <v>305</v>
      </c>
      <c r="P65" s="22" t="s">
        <v>80</v>
      </c>
      <c r="Q65" s="25" t="n">
        <v>0.43</v>
      </c>
    </row>
    <row r="66" customFormat="false" ht="15" hidden="false" customHeight="false" outlineLevel="0" collapsed="false">
      <c r="A66" s="5" t="s">
        <v>166</v>
      </c>
      <c r="B66" s="5" t="s">
        <v>167</v>
      </c>
      <c r="C66" s="5" t="s">
        <v>168</v>
      </c>
      <c r="D66" s="24" t="n">
        <v>5.72</v>
      </c>
      <c r="E66" s="5" t="n">
        <v>2</v>
      </c>
      <c r="F66" s="24" t="n">
        <v>3.72</v>
      </c>
      <c r="G66" s="24" t="n">
        <v>10.13</v>
      </c>
      <c r="H66" s="5" t="n">
        <v>9</v>
      </c>
      <c r="I66" s="24" t="n">
        <v>1.13</v>
      </c>
      <c r="J66" s="5" t="s">
        <v>233</v>
      </c>
      <c r="K66" s="22" t="s">
        <v>80</v>
      </c>
      <c r="L66" s="5" t="s">
        <v>237</v>
      </c>
      <c r="M66" s="26" t="s">
        <v>238</v>
      </c>
      <c r="N66" s="5" t="s">
        <v>169</v>
      </c>
      <c r="O66" s="5" t="s">
        <v>168</v>
      </c>
      <c r="P66" s="22" t="s">
        <v>80</v>
      </c>
      <c r="Q66" s="25" t="n">
        <v>0.452</v>
      </c>
    </row>
    <row r="67" customFormat="false" ht="15" hidden="false" customHeight="false" outlineLevel="0" collapsed="false">
      <c r="A67" s="5" t="s">
        <v>166</v>
      </c>
      <c r="B67" s="5" t="s">
        <v>307</v>
      </c>
      <c r="C67" s="5" t="s">
        <v>308</v>
      </c>
      <c r="D67" s="24" t="n">
        <v>5.95</v>
      </c>
      <c r="E67" s="5" t="n">
        <v>8</v>
      </c>
      <c r="F67" s="24" t="n">
        <v>2.05</v>
      </c>
      <c r="G67" s="24" t="n">
        <v>11.65</v>
      </c>
      <c r="H67" s="5" t="n">
        <v>8</v>
      </c>
      <c r="I67" s="24" t="n">
        <v>3.65</v>
      </c>
      <c r="J67" s="5" t="s">
        <v>233</v>
      </c>
      <c r="K67" s="21" t="s">
        <v>75</v>
      </c>
      <c r="L67" s="5" t="s">
        <v>234</v>
      </c>
      <c r="M67" s="22" t="s">
        <v>80</v>
      </c>
      <c r="N67" s="5" t="s">
        <v>308</v>
      </c>
      <c r="O67" s="5" t="s">
        <v>308</v>
      </c>
      <c r="P67" s="21" t="s">
        <v>75</v>
      </c>
      <c r="Q67" s="25" t="n">
        <v>0.441</v>
      </c>
    </row>
    <row r="68" customFormat="false" ht="15" hidden="false" customHeight="false" outlineLevel="0" collapsed="false">
      <c r="A68" s="5" t="s">
        <v>170</v>
      </c>
      <c r="B68" s="5" t="s">
        <v>309</v>
      </c>
      <c r="C68" s="5" t="s">
        <v>310</v>
      </c>
      <c r="D68" s="24" t="n">
        <v>3.53</v>
      </c>
      <c r="E68" s="5" t="n">
        <v>3</v>
      </c>
      <c r="F68" s="24" t="n">
        <v>0.53</v>
      </c>
      <c r="G68" s="24" t="n">
        <v>9.68</v>
      </c>
      <c r="H68" s="5" t="n">
        <v>6</v>
      </c>
      <c r="I68" s="24" t="n">
        <v>3.68</v>
      </c>
      <c r="J68" s="5" t="s">
        <v>235</v>
      </c>
      <c r="K68" s="21" t="s">
        <v>75</v>
      </c>
      <c r="L68" s="5" t="s">
        <v>236</v>
      </c>
      <c r="M68" s="21" t="s">
        <v>75</v>
      </c>
      <c r="N68" s="5" t="s">
        <v>309</v>
      </c>
      <c r="O68" s="5" t="s">
        <v>309</v>
      </c>
      <c r="P68" s="21" t="s">
        <v>75</v>
      </c>
      <c r="Q68" s="25" t="n">
        <v>0.479</v>
      </c>
    </row>
    <row r="69" customFormat="false" ht="15" hidden="false" customHeight="false" outlineLevel="0" collapsed="false">
      <c r="A69" s="5" t="s">
        <v>170</v>
      </c>
      <c r="B69" s="5" t="s">
        <v>311</v>
      </c>
      <c r="C69" s="5" t="s">
        <v>312</v>
      </c>
      <c r="D69" s="24" t="n">
        <v>4.42</v>
      </c>
      <c r="E69" s="5" t="n">
        <v>5</v>
      </c>
      <c r="F69" s="24" t="n">
        <v>0.58</v>
      </c>
      <c r="G69" s="24" t="n">
        <v>9.27</v>
      </c>
      <c r="H69" s="5" t="n">
        <v>13</v>
      </c>
      <c r="I69" s="24" t="n">
        <v>3.73</v>
      </c>
      <c r="J69" s="5" t="s">
        <v>237</v>
      </c>
      <c r="K69" s="26" t="s">
        <v>238</v>
      </c>
      <c r="L69" s="5" t="s">
        <v>236</v>
      </c>
      <c r="M69" s="22" t="s">
        <v>80</v>
      </c>
      <c r="N69" s="5" t="s">
        <v>311</v>
      </c>
      <c r="O69" s="5" t="s">
        <v>311</v>
      </c>
      <c r="P69" s="21" t="s">
        <v>75</v>
      </c>
      <c r="Q69" s="25" t="n">
        <v>0.456</v>
      </c>
    </row>
    <row r="70" customFormat="false" ht="15" hidden="false" customHeight="false" outlineLevel="0" collapsed="false">
      <c r="A70" s="5" t="s">
        <v>170</v>
      </c>
      <c r="B70" s="5" t="s">
        <v>171</v>
      </c>
      <c r="C70" s="5" t="s">
        <v>172</v>
      </c>
      <c r="D70" s="24" t="n">
        <v>3.48</v>
      </c>
      <c r="E70" s="5" t="n">
        <v>3</v>
      </c>
      <c r="F70" s="24" t="n">
        <v>0.48</v>
      </c>
      <c r="G70" s="24" t="n">
        <v>8.29</v>
      </c>
      <c r="H70" s="5" t="n">
        <v>8</v>
      </c>
      <c r="I70" s="24" t="n">
        <v>0.289999999999999</v>
      </c>
      <c r="J70" s="5" t="s">
        <v>235</v>
      </c>
      <c r="K70" s="21" t="s">
        <v>75</v>
      </c>
      <c r="L70" s="5" t="s">
        <v>236</v>
      </c>
      <c r="M70" s="21" t="s">
        <v>75</v>
      </c>
      <c r="N70" s="5" t="s">
        <v>172</v>
      </c>
      <c r="O70" s="5" t="s">
        <v>171</v>
      </c>
      <c r="P70" s="22" t="s">
        <v>80</v>
      </c>
      <c r="Q70" s="25" t="n">
        <v>0.459</v>
      </c>
    </row>
    <row r="71" customFormat="false" ht="15" hidden="false" customHeight="false" outlineLevel="0" collapsed="false">
      <c r="A71" s="5" t="s">
        <v>170</v>
      </c>
      <c r="B71" s="5" t="s">
        <v>174</v>
      </c>
      <c r="C71" s="5" t="s">
        <v>175</v>
      </c>
      <c r="D71" s="24" t="n">
        <v>5.28</v>
      </c>
      <c r="E71" s="5" t="n">
        <v>5</v>
      </c>
      <c r="F71" s="24" t="n">
        <v>0.28</v>
      </c>
      <c r="G71" s="24" t="n">
        <v>13.44</v>
      </c>
      <c r="H71" s="5" t="n">
        <v>10</v>
      </c>
      <c r="I71" s="24" t="n">
        <v>3.44</v>
      </c>
      <c r="J71" s="5" t="s">
        <v>233</v>
      </c>
      <c r="K71" s="21" t="s">
        <v>75</v>
      </c>
      <c r="L71" s="5" t="s">
        <v>234</v>
      </c>
      <c r="M71" s="22" t="s">
        <v>80</v>
      </c>
      <c r="N71" s="5" t="s">
        <v>174</v>
      </c>
      <c r="O71" s="5" t="s">
        <v>174</v>
      </c>
      <c r="P71" s="21" t="s">
        <v>75</v>
      </c>
      <c r="Q71" s="25" t="n">
        <v>0.485</v>
      </c>
    </row>
    <row r="72" customFormat="false" ht="15" hidden="false" customHeight="false" outlineLevel="0" collapsed="false">
      <c r="A72" s="5" t="s">
        <v>170</v>
      </c>
      <c r="B72" s="5" t="s">
        <v>313</v>
      </c>
      <c r="C72" s="5" t="s">
        <v>314</v>
      </c>
      <c r="D72" s="24" t="n">
        <v>5.91</v>
      </c>
      <c r="E72" s="5" t="n">
        <v>5</v>
      </c>
      <c r="F72" s="24" t="n">
        <v>0.91</v>
      </c>
      <c r="G72" s="24" t="n">
        <v>10.38</v>
      </c>
      <c r="H72" s="5" t="n">
        <v>8</v>
      </c>
      <c r="I72" s="24" t="n">
        <v>2.38</v>
      </c>
      <c r="J72" s="5" t="s">
        <v>233</v>
      </c>
      <c r="K72" s="21" t="s">
        <v>75</v>
      </c>
      <c r="L72" s="5" t="s">
        <v>237</v>
      </c>
      <c r="M72" s="26" t="s">
        <v>238</v>
      </c>
      <c r="N72" s="5" t="s">
        <v>313</v>
      </c>
      <c r="O72" s="5" t="s">
        <v>313</v>
      </c>
      <c r="P72" s="21" t="s">
        <v>75</v>
      </c>
      <c r="Q72" s="25" t="n">
        <v>0.496</v>
      </c>
    </row>
    <row r="73" customFormat="false" ht="15" hidden="false" customHeight="false" outlineLevel="0" collapsed="false">
      <c r="A73" s="5" t="s">
        <v>170</v>
      </c>
      <c r="B73" s="5" t="s">
        <v>315</v>
      </c>
      <c r="C73" s="5" t="s">
        <v>306</v>
      </c>
      <c r="D73" s="24" t="n">
        <v>4.24</v>
      </c>
      <c r="E73" s="5" t="n">
        <v>5</v>
      </c>
      <c r="F73" s="24" t="n">
        <v>0.76</v>
      </c>
      <c r="G73" s="24" t="n">
        <v>8.08</v>
      </c>
      <c r="H73" s="5" t="n">
        <v>9</v>
      </c>
      <c r="I73" s="24" t="n">
        <v>0.92</v>
      </c>
      <c r="J73" s="5" t="s">
        <v>235</v>
      </c>
      <c r="K73" s="22" t="s">
        <v>80</v>
      </c>
      <c r="L73" s="5" t="s">
        <v>236</v>
      </c>
      <c r="M73" s="21" t="s">
        <v>75</v>
      </c>
      <c r="N73" s="5" t="s">
        <v>315</v>
      </c>
      <c r="O73" s="5" t="s">
        <v>315</v>
      </c>
      <c r="P73" s="21" t="s">
        <v>75</v>
      </c>
      <c r="Q73" s="25" t="n">
        <v>0.484</v>
      </c>
    </row>
    <row r="74" customFormat="false" ht="15" hidden="false" customHeight="false" outlineLevel="0" collapsed="false">
      <c r="A74" s="5" t="s">
        <v>170</v>
      </c>
      <c r="B74" s="5" t="s">
        <v>177</v>
      </c>
      <c r="C74" s="5" t="s">
        <v>178</v>
      </c>
      <c r="D74" s="24" t="n">
        <v>4.55</v>
      </c>
      <c r="E74" s="5" t="n">
        <v>5</v>
      </c>
      <c r="F74" s="24" t="n">
        <v>0.45</v>
      </c>
      <c r="G74" s="24" t="n">
        <v>9.1</v>
      </c>
      <c r="H74" s="5" t="n">
        <v>11</v>
      </c>
      <c r="I74" s="24" t="n">
        <v>1.9</v>
      </c>
      <c r="J74" s="5" t="s">
        <v>237</v>
      </c>
      <c r="K74" s="26" t="s">
        <v>238</v>
      </c>
      <c r="L74" s="5" t="s">
        <v>236</v>
      </c>
      <c r="M74" s="22" t="s">
        <v>80</v>
      </c>
      <c r="N74" s="5" t="s">
        <v>177</v>
      </c>
      <c r="O74" s="5" t="s">
        <v>177</v>
      </c>
      <c r="P74" s="21" t="s">
        <v>75</v>
      </c>
      <c r="Q74" s="25" t="n">
        <v>0.508</v>
      </c>
    </row>
    <row r="75" customFormat="false" ht="15" hidden="false" customHeight="false" outlineLevel="0" collapsed="false">
      <c r="A75" s="5" t="s">
        <v>170</v>
      </c>
      <c r="B75" s="5" t="s">
        <v>316</v>
      </c>
      <c r="C75" s="5" t="s">
        <v>317</v>
      </c>
      <c r="D75" s="24" t="n">
        <v>3.61</v>
      </c>
      <c r="E75" s="5" t="n">
        <v>6</v>
      </c>
      <c r="F75" s="24" t="n">
        <v>2.39</v>
      </c>
      <c r="G75" s="24" t="n">
        <v>7.78</v>
      </c>
      <c r="H75" s="5" t="n">
        <v>11</v>
      </c>
      <c r="I75" s="24" t="n">
        <v>3.22</v>
      </c>
      <c r="J75" s="5" t="s">
        <v>235</v>
      </c>
      <c r="K75" s="22" t="s">
        <v>80</v>
      </c>
      <c r="L75" s="5" t="s">
        <v>236</v>
      </c>
      <c r="M75" s="22" t="s">
        <v>80</v>
      </c>
      <c r="N75" s="5" t="s">
        <v>316</v>
      </c>
      <c r="O75" s="5" t="s">
        <v>241</v>
      </c>
      <c r="P75" s="22" t="s">
        <v>80</v>
      </c>
      <c r="Q75" s="25" t="n">
        <v>0.482</v>
      </c>
    </row>
    <row r="76" customFormat="false" ht="15" hidden="false" customHeight="false" outlineLevel="0" collapsed="false">
      <c r="A76" s="5" t="s">
        <v>180</v>
      </c>
      <c r="B76" s="5" t="s">
        <v>318</v>
      </c>
      <c r="C76" s="5" t="s">
        <v>319</v>
      </c>
      <c r="D76" s="24" t="n">
        <v>3.78</v>
      </c>
      <c r="E76" s="5" t="n">
        <v>2</v>
      </c>
      <c r="F76" s="24" t="n">
        <v>1.78</v>
      </c>
      <c r="G76" s="24" t="n">
        <v>7.95</v>
      </c>
      <c r="H76" s="5" t="n">
        <v>8</v>
      </c>
      <c r="I76" s="24" t="n">
        <v>0.0499999999999998</v>
      </c>
      <c r="J76" s="5" t="s">
        <v>235</v>
      </c>
      <c r="K76" s="21" t="s">
        <v>75</v>
      </c>
      <c r="L76" s="5" t="s">
        <v>236</v>
      </c>
      <c r="M76" s="21" t="s">
        <v>75</v>
      </c>
      <c r="N76" s="5" t="s">
        <v>319</v>
      </c>
      <c r="O76" s="5" t="s">
        <v>318</v>
      </c>
      <c r="P76" s="22" t="s">
        <v>80</v>
      </c>
      <c r="Q76" s="25" t="n">
        <v>0.44</v>
      </c>
    </row>
    <row r="77" customFormat="false" ht="15" hidden="false" customHeight="false" outlineLevel="0" collapsed="false">
      <c r="A77" s="5" t="s">
        <v>180</v>
      </c>
      <c r="B77" s="5" t="s">
        <v>320</v>
      </c>
      <c r="C77" s="5" t="s">
        <v>321</v>
      </c>
      <c r="D77" s="24" t="n">
        <v>3.24</v>
      </c>
      <c r="E77" s="5" t="n">
        <v>5</v>
      </c>
      <c r="F77" s="24" t="n">
        <v>1.76</v>
      </c>
      <c r="G77" s="24" t="n">
        <v>11.06</v>
      </c>
      <c r="H77" s="5" t="n">
        <v>10</v>
      </c>
      <c r="I77" s="24" t="n">
        <v>1.06</v>
      </c>
      <c r="J77" s="5" t="s">
        <v>235</v>
      </c>
      <c r="K77" s="22" t="s">
        <v>80</v>
      </c>
      <c r="L77" s="5" t="s">
        <v>237</v>
      </c>
      <c r="M77" s="26" t="s">
        <v>238</v>
      </c>
      <c r="N77" s="5" t="s">
        <v>320</v>
      </c>
      <c r="O77" s="5" t="s">
        <v>321</v>
      </c>
      <c r="P77" s="22" t="s">
        <v>80</v>
      </c>
      <c r="Q77" s="25" t="n">
        <v>0.474</v>
      </c>
    </row>
    <row r="78" customFormat="false" ht="15" hidden="false" customHeight="false" outlineLevel="0" collapsed="false">
      <c r="A78" s="5" t="s">
        <v>180</v>
      </c>
      <c r="B78" s="5" t="s">
        <v>181</v>
      </c>
      <c r="C78" s="5" t="s">
        <v>182</v>
      </c>
      <c r="D78" s="24" t="n">
        <v>3.08</v>
      </c>
      <c r="E78" s="5" t="n">
        <v>3</v>
      </c>
      <c r="F78" s="24" t="n">
        <v>0.0800000000000001</v>
      </c>
      <c r="G78" s="24" t="n">
        <v>8.73</v>
      </c>
      <c r="H78" s="5" t="n">
        <v>8</v>
      </c>
      <c r="I78" s="24" t="n">
        <v>0.73</v>
      </c>
      <c r="J78" s="5" t="s">
        <v>235</v>
      </c>
      <c r="K78" s="21" t="s">
        <v>75</v>
      </c>
      <c r="L78" s="5" t="s">
        <v>236</v>
      </c>
      <c r="M78" s="21" t="s">
        <v>75</v>
      </c>
      <c r="N78" s="5" t="s">
        <v>181</v>
      </c>
      <c r="O78" s="5" t="s">
        <v>181</v>
      </c>
      <c r="P78" s="21" t="s">
        <v>75</v>
      </c>
      <c r="Q78" s="25" t="n">
        <v>0.415</v>
      </c>
    </row>
    <row r="79" customFormat="false" ht="15" hidden="false" customHeight="false" outlineLevel="0" collapsed="false">
      <c r="A79" s="5" t="s">
        <v>180</v>
      </c>
      <c r="B79" s="5" t="s">
        <v>322</v>
      </c>
      <c r="C79" s="5" t="s">
        <v>323</v>
      </c>
      <c r="D79" s="24" t="n">
        <v>6.31</v>
      </c>
      <c r="E79" s="5" t="n">
        <v>5</v>
      </c>
      <c r="F79" s="24" t="n">
        <v>1.31</v>
      </c>
      <c r="G79" s="24" t="n">
        <v>11.81</v>
      </c>
      <c r="H79" s="5" t="n">
        <v>10</v>
      </c>
      <c r="I79" s="24" t="n">
        <v>1.81</v>
      </c>
      <c r="J79" s="5" t="s">
        <v>233</v>
      </c>
      <c r="K79" s="21" t="s">
        <v>75</v>
      </c>
      <c r="L79" s="5" t="s">
        <v>234</v>
      </c>
      <c r="M79" s="22" t="s">
        <v>80</v>
      </c>
      <c r="N79" s="5" t="s">
        <v>322</v>
      </c>
      <c r="O79" s="5" t="s">
        <v>322</v>
      </c>
      <c r="P79" s="21" t="s">
        <v>75</v>
      </c>
      <c r="Q79" s="25" t="n">
        <v>0.474</v>
      </c>
    </row>
    <row r="80" customFormat="false" ht="15" hidden="false" customHeight="false" outlineLevel="0" collapsed="false">
      <c r="A80" s="5" t="s">
        <v>180</v>
      </c>
      <c r="B80" s="5" t="s">
        <v>183</v>
      </c>
      <c r="C80" s="5" t="s">
        <v>184</v>
      </c>
      <c r="D80" s="24" t="n">
        <v>4.21</v>
      </c>
      <c r="E80" s="5" t="n">
        <v>6</v>
      </c>
      <c r="F80" s="24" t="n">
        <v>1.79</v>
      </c>
      <c r="G80" s="24" t="n">
        <v>8.58</v>
      </c>
      <c r="H80" s="5" t="n">
        <v>16</v>
      </c>
      <c r="I80" s="24" t="n">
        <v>7.42</v>
      </c>
      <c r="J80" s="5" t="s">
        <v>235</v>
      </c>
      <c r="K80" s="22" t="s">
        <v>80</v>
      </c>
      <c r="L80" s="5" t="s">
        <v>236</v>
      </c>
      <c r="M80" s="22" t="s">
        <v>80</v>
      </c>
      <c r="N80" s="5" t="s">
        <v>183</v>
      </c>
      <c r="O80" s="5" t="s">
        <v>183</v>
      </c>
      <c r="P80" s="21" t="s">
        <v>75</v>
      </c>
      <c r="Q80" s="25" t="n">
        <v>0.451</v>
      </c>
    </row>
    <row r="81" customFormat="false" ht="15" hidden="false" customHeight="false" outlineLevel="0" collapsed="false">
      <c r="A81" s="5" t="s">
        <v>180</v>
      </c>
      <c r="B81" s="5" t="s">
        <v>186</v>
      </c>
      <c r="C81" s="5" t="s">
        <v>187</v>
      </c>
      <c r="D81" s="24" t="n">
        <v>4.29</v>
      </c>
      <c r="E81" s="5" t="n">
        <v>3</v>
      </c>
      <c r="F81" s="24" t="n">
        <v>1.29</v>
      </c>
      <c r="G81" s="24" t="n">
        <v>11.05</v>
      </c>
      <c r="H81" s="5" t="n">
        <v>4</v>
      </c>
      <c r="I81" s="24" t="n">
        <v>7.05</v>
      </c>
      <c r="J81" s="5" t="s">
        <v>237</v>
      </c>
      <c r="K81" s="26" t="s">
        <v>238</v>
      </c>
      <c r="L81" s="5" t="s">
        <v>237</v>
      </c>
      <c r="M81" s="26" t="s">
        <v>238</v>
      </c>
      <c r="N81" s="5" t="s">
        <v>186</v>
      </c>
      <c r="O81" s="5" t="s">
        <v>187</v>
      </c>
      <c r="P81" s="22" t="s">
        <v>80</v>
      </c>
      <c r="Q81" s="25" t="n">
        <v>0.474</v>
      </c>
    </row>
    <row r="82" customFormat="false" ht="15" hidden="false" customHeight="false" outlineLevel="0" collapsed="false">
      <c r="A82" s="5" t="s">
        <v>180</v>
      </c>
      <c r="B82" s="5" t="s">
        <v>324</v>
      </c>
      <c r="C82" s="5" t="s">
        <v>325</v>
      </c>
      <c r="D82" s="24" t="n">
        <v>3.64</v>
      </c>
      <c r="E82" s="5" t="n">
        <v>3</v>
      </c>
      <c r="F82" s="24" t="n">
        <v>0.64</v>
      </c>
      <c r="G82" s="24" t="n">
        <v>9</v>
      </c>
      <c r="H82" s="5" t="n">
        <v>11</v>
      </c>
      <c r="I82" s="24" t="n">
        <v>2</v>
      </c>
      <c r="J82" s="5" t="s">
        <v>235</v>
      </c>
      <c r="K82" s="21" t="s">
        <v>75</v>
      </c>
      <c r="L82" s="5" t="s">
        <v>236</v>
      </c>
      <c r="M82" s="22" t="s">
        <v>80</v>
      </c>
      <c r="N82" s="5" t="s">
        <v>324</v>
      </c>
      <c r="O82" s="5" t="s">
        <v>325</v>
      </c>
      <c r="P82" s="22" t="s">
        <v>80</v>
      </c>
      <c r="Q82" s="25" t="n">
        <v>0.474</v>
      </c>
    </row>
    <row r="83" customFormat="false" ht="15" hidden="false" customHeight="false" outlineLevel="0" collapsed="false">
      <c r="A83" s="5" t="s">
        <v>180</v>
      </c>
      <c r="B83" s="5" t="s">
        <v>326</v>
      </c>
      <c r="C83" s="5" t="s">
        <v>327</v>
      </c>
      <c r="D83" s="24" t="n">
        <v>3.91</v>
      </c>
      <c r="E83" s="5" t="n">
        <v>8</v>
      </c>
      <c r="F83" s="24" t="n">
        <v>4.09</v>
      </c>
      <c r="G83" s="24" t="n">
        <v>7.16</v>
      </c>
      <c r="H83" s="5" t="n">
        <v>15</v>
      </c>
      <c r="I83" s="24" t="n">
        <v>7.84</v>
      </c>
      <c r="J83" s="5" t="s">
        <v>235</v>
      </c>
      <c r="K83" s="22" t="s">
        <v>80</v>
      </c>
      <c r="L83" s="5" t="s">
        <v>236</v>
      </c>
      <c r="M83" s="22" t="s">
        <v>80</v>
      </c>
      <c r="N83" s="5" t="s">
        <v>326</v>
      </c>
      <c r="O83" s="5" t="s">
        <v>327</v>
      </c>
      <c r="P83" s="22" t="s">
        <v>80</v>
      </c>
      <c r="Q83" s="25" t="n">
        <v>0.408</v>
      </c>
    </row>
    <row r="84" customFormat="false" ht="15" hidden="false" customHeight="false" outlineLevel="0" collapsed="false">
      <c r="A84" s="5" t="s">
        <v>189</v>
      </c>
      <c r="B84" s="5" t="s">
        <v>190</v>
      </c>
      <c r="C84" s="5" t="s">
        <v>191</v>
      </c>
      <c r="D84" s="24" t="n">
        <v>6.95</v>
      </c>
      <c r="E84" s="5" t="n">
        <v>4</v>
      </c>
      <c r="F84" s="24" t="n">
        <v>2.95</v>
      </c>
      <c r="G84" s="24" t="n">
        <v>13.17</v>
      </c>
      <c r="H84" s="5" t="n">
        <v>8</v>
      </c>
      <c r="I84" s="24" t="n">
        <v>5.17</v>
      </c>
      <c r="J84" s="5" t="s">
        <v>233</v>
      </c>
      <c r="K84" s="22" t="s">
        <v>80</v>
      </c>
      <c r="L84" s="5" t="s">
        <v>234</v>
      </c>
      <c r="M84" s="22" t="s">
        <v>80</v>
      </c>
      <c r="N84" s="5" t="s">
        <v>191</v>
      </c>
      <c r="O84" s="5" t="s">
        <v>190</v>
      </c>
      <c r="P84" s="22" t="s">
        <v>80</v>
      </c>
      <c r="Q84" s="25" t="n">
        <v>0.95</v>
      </c>
    </row>
    <row r="85" customFormat="false" ht="15" hidden="false" customHeight="false" outlineLevel="0" collapsed="false">
      <c r="A85" s="5" t="s">
        <v>189</v>
      </c>
      <c r="B85" s="5" t="s">
        <v>328</v>
      </c>
      <c r="C85" s="5" t="s">
        <v>329</v>
      </c>
      <c r="D85" s="24" t="n">
        <v>2.93</v>
      </c>
      <c r="E85" s="5" t="n">
        <v>0</v>
      </c>
      <c r="F85" s="24" t="n">
        <v>2.93</v>
      </c>
      <c r="G85" s="24" t="n">
        <v>7.84</v>
      </c>
      <c r="H85" s="5" t="n">
        <v>4</v>
      </c>
      <c r="I85" s="24" t="n">
        <v>3.84</v>
      </c>
      <c r="J85" s="5" t="s">
        <v>235</v>
      </c>
      <c r="K85" s="21" t="s">
        <v>75</v>
      </c>
      <c r="L85" s="5" t="s">
        <v>236</v>
      </c>
      <c r="M85" s="21" t="s">
        <v>75</v>
      </c>
      <c r="N85" s="5" t="s">
        <v>328</v>
      </c>
      <c r="O85" s="5" t="s">
        <v>328</v>
      </c>
      <c r="P85" s="21" t="s">
        <v>75</v>
      </c>
      <c r="Q85" s="25" t="n">
        <v>0.95</v>
      </c>
    </row>
    <row r="86" customFormat="false" ht="15" hidden="false" customHeight="false" outlineLevel="0" collapsed="false">
      <c r="A86" s="5" t="s">
        <v>189</v>
      </c>
      <c r="B86" s="5" t="s">
        <v>192</v>
      </c>
      <c r="C86" s="5" t="s">
        <v>193</v>
      </c>
      <c r="D86" s="24" t="n">
        <v>5.57</v>
      </c>
      <c r="E86" s="5" t="n">
        <v>1</v>
      </c>
      <c r="F86" s="24" t="n">
        <v>4.57</v>
      </c>
      <c r="G86" s="24" t="n">
        <v>10.87</v>
      </c>
      <c r="H86" s="5" t="n">
        <v>6</v>
      </c>
      <c r="I86" s="24" t="n">
        <v>4.87</v>
      </c>
      <c r="J86" s="5" t="s">
        <v>233</v>
      </c>
      <c r="K86" s="22" t="s">
        <v>80</v>
      </c>
      <c r="L86" s="5" t="s">
        <v>237</v>
      </c>
      <c r="M86" s="26" t="s">
        <v>238</v>
      </c>
      <c r="N86" s="5" t="s">
        <v>192</v>
      </c>
      <c r="O86" s="5" t="s">
        <v>192</v>
      </c>
      <c r="P86" s="21" t="s">
        <v>75</v>
      </c>
      <c r="Q86" s="25" t="n">
        <v>0.95</v>
      </c>
    </row>
    <row r="87" customFormat="false" ht="15" hidden="false" customHeight="false" outlineLevel="0" collapsed="false">
      <c r="A87" s="5" t="s">
        <v>189</v>
      </c>
      <c r="B87" s="5" t="s">
        <v>330</v>
      </c>
      <c r="C87" s="5" t="s">
        <v>331</v>
      </c>
      <c r="D87" s="24" t="n">
        <v>5.32</v>
      </c>
      <c r="E87" s="5" t="n">
        <v>4</v>
      </c>
      <c r="F87" s="24" t="n">
        <v>1.32</v>
      </c>
      <c r="G87" s="24" t="n">
        <v>10.56</v>
      </c>
      <c r="H87" s="5" t="n">
        <v>6</v>
      </c>
      <c r="I87" s="24" t="n">
        <v>4.56</v>
      </c>
      <c r="J87" s="5" t="s">
        <v>233</v>
      </c>
      <c r="K87" s="22" t="s">
        <v>80</v>
      </c>
      <c r="L87" s="5" t="s">
        <v>237</v>
      </c>
      <c r="M87" s="26" t="s">
        <v>238</v>
      </c>
      <c r="N87" s="5" t="s">
        <v>331</v>
      </c>
      <c r="O87" s="5" t="s">
        <v>330</v>
      </c>
      <c r="P87" s="22" t="s">
        <v>80</v>
      </c>
      <c r="Q87" s="25" t="n">
        <v>0.95</v>
      </c>
    </row>
    <row r="88" customFormat="false" ht="15" hidden="false" customHeight="false" outlineLevel="0" collapsed="false">
      <c r="A88" s="5" t="s">
        <v>189</v>
      </c>
      <c r="B88" s="5" t="s">
        <v>332</v>
      </c>
      <c r="C88" s="5" t="s">
        <v>333</v>
      </c>
      <c r="D88" s="24" t="n">
        <v>2.97</v>
      </c>
      <c r="E88" s="5" t="n">
        <v>8</v>
      </c>
      <c r="F88" s="24" t="n">
        <v>5.03</v>
      </c>
      <c r="G88" s="24" t="n">
        <v>7.45</v>
      </c>
      <c r="H88" s="5" t="n">
        <v>15</v>
      </c>
      <c r="I88" s="24" t="n">
        <v>7.55</v>
      </c>
      <c r="J88" s="5" t="s">
        <v>235</v>
      </c>
      <c r="K88" s="22" t="s">
        <v>80</v>
      </c>
      <c r="L88" s="5" t="s">
        <v>236</v>
      </c>
      <c r="M88" s="22" t="s">
        <v>80</v>
      </c>
      <c r="N88" s="5" t="s">
        <v>332</v>
      </c>
      <c r="O88" s="5" t="s">
        <v>332</v>
      </c>
      <c r="P88" s="21" t="s">
        <v>75</v>
      </c>
      <c r="Q88" s="25" t="n">
        <v>0.95</v>
      </c>
    </row>
    <row r="89" customFormat="false" ht="15" hidden="false" customHeight="false" outlineLevel="0" collapsed="false">
      <c r="A89" s="5" t="s">
        <v>189</v>
      </c>
      <c r="B89" s="5" t="s">
        <v>194</v>
      </c>
      <c r="C89" s="5" t="s">
        <v>195</v>
      </c>
      <c r="D89" s="24" t="n">
        <v>5.5</v>
      </c>
      <c r="E89" s="5" t="n">
        <v>5</v>
      </c>
      <c r="F89" s="24" t="n">
        <v>0.5</v>
      </c>
      <c r="G89" s="24" t="n">
        <v>10.7</v>
      </c>
      <c r="H89" s="5" t="n">
        <v>11</v>
      </c>
      <c r="I89" s="24" t="n">
        <v>0.300000000000001</v>
      </c>
      <c r="J89" s="5" t="s">
        <v>233</v>
      </c>
      <c r="K89" s="21" t="s">
        <v>75</v>
      </c>
      <c r="L89" s="5" t="s">
        <v>237</v>
      </c>
      <c r="M89" s="26" t="s">
        <v>238</v>
      </c>
      <c r="N89" s="5" t="s">
        <v>194</v>
      </c>
      <c r="O89" s="5" t="s">
        <v>194</v>
      </c>
      <c r="P89" s="21" t="s">
        <v>75</v>
      </c>
      <c r="Q89" s="25" t="n">
        <v>0.95</v>
      </c>
    </row>
    <row r="90" customFormat="false" ht="15" hidden="false" customHeight="false" outlineLevel="0" collapsed="false">
      <c r="A90" s="5" t="s">
        <v>189</v>
      </c>
      <c r="B90" s="5" t="s">
        <v>197</v>
      </c>
      <c r="C90" s="5" t="s">
        <v>198</v>
      </c>
      <c r="D90" s="24" t="n">
        <v>5.14</v>
      </c>
      <c r="E90" s="5" t="n">
        <v>4</v>
      </c>
      <c r="F90" s="24" t="n">
        <v>1.14</v>
      </c>
      <c r="G90" s="24" t="n">
        <v>9.25</v>
      </c>
      <c r="H90" s="5" t="n">
        <v>8</v>
      </c>
      <c r="I90" s="24" t="n">
        <v>1.25</v>
      </c>
      <c r="J90" s="5" t="s">
        <v>233</v>
      </c>
      <c r="K90" s="22" t="s">
        <v>80</v>
      </c>
      <c r="L90" s="5" t="s">
        <v>236</v>
      </c>
      <c r="M90" s="21" t="s">
        <v>75</v>
      </c>
      <c r="N90" s="5" t="s">
        <v>197</v>
      </c>
      <c r="O90" s="5" t="s">
        <v>241</v>
      </c>
      <c r="P90" s="22" t="s">
        <v>80</v>
      </c>
      <c r="Q90" s="25" t="n">
        <v>0.878</v>
      </c>
    </row>
    <row r="91" customFormat="false" ht="15" hidden="false" customHeight="false" outlineLevel="0" collapsed="false">
      <c r="A91" s="5" t="s">
        <v>189</v>
      </c>
      <c r="B91" s="5" t="s">
        <v>334</v>
      </c>
      <c r="C91" s="5" t="s">
        <v>335</v>
      </c>
      <c r="D91" s="24" t="n">
        <v>5.43</v>
      </c>
      <c r="E91" s="5" t="n">
        <v>5</v>
      </c>
      <c r="F91" s="24" t="n">
        <v>0.43</v>
      </c>
      <c r="G91" s="24" t="n">
        <v>11.25</v>
      </c>
      <c r="H91" s="5" t="n">
        <v>7</v>
      </c>
      <c r="I91" s="24" t="n">
        <v>4.25</v>
      </c>
      <c r="J91" s="5" t="s">
        <v>233</v>
      </c>
      <c r="K91" s="21" t="s">
        <v>75</v>
      </c>
      <c r="L91" s="5" t="s">
        <v>237</v>
      </c>
      <c r="M91" s="26" t="s">
        <v>238</v>
      </c>
      <c r="N91" s="5" t="s">
        <v>336</v>
      </c>
      <c r="O91" s="5" t="s">
        <v>334</v>
      </c>
      <c r="P91" s="21" t="s">
        <v>75</v>
      </c>
      <c r="Q91" s="25" t="n">
        <v>0.939</v>
      </c>
    </row>
    <row r="92" customFormat="false" ht="15" hidden="false" customHeight="false" outlineLevel="0" collapsed="false">
      <c r="A92" s="5" t="s">
        <v>189</v>
      </c>
      <c r="B92" s="5" t="s">
        <v>337</v>
      </c>
      <c r="C92" s="5" t="s">
        <v>338</v>
      </c>
      <c r="D92" s="24" t="n">
        <v>4.62</v>
      </c>
      <c r="E92" s="5" t="n">
        <v>5</v>
      </c>
      <c r="F92" s="24" t="n">
        <v>0.38</v>
      </c>
      <c r="G92" s="24" t="n">
        <v>11.37</v>
      </c>
      <c r="H92" s="5" t="n">
        <v>13</v>
      </c>
      <c r="I92" s="24" t="n">
        <v>1.63</v>
      </c>
      <c r="J92" s="5" t="s">
        <v>237</v>
      </c>
      <c r="K92" s="26" t="s">
        <v>238</v>
      </c>
      <c r="L92" s="5" t="s">
        <v>234</v>
      </c>
      <c r="M92" s="21" t="s">
        <v>75</v>
      </c>
      <c r="N92" s="5" t="s">
        <v>339</v>
      </c>
      <c r="O92" s="5" t="s">
        <v>338</v>
      </c>
      <c r="P92" s="21" t="s">
        <v>75</v>
      </c>
      <c r="Q92" s="25" t="n">
        <v>0.95</v>
      </c>
    </row>
    <row r="93" customFormat="false" ht="15" hidden="false" customHeight="false" outlineLevel="0" collapsed="false">
      <c r="A93" s="5" t="s">
        <v>189</v>
      </c>
      <c r="B93" s="5" t="s">
        <v>199</v>
      </c>
      <c r="C93" s="5" t="s">
        <v>200</v>
      </c>
      <c r="D93" s="24" t="n">
        <v>2.86</v>
      </c>
      <c r="E93" s="5" t="n">
        <v>4</v>
      </c>
      <c r="F93" s="24" t="n">
        <v>1.14</v>
      </c>
      <c r="G93" s="24" t="n">
        <v>5.55</v>
      </c>
      <c r="H93" s="5" t="n">
        <v>10</v>
      </c>
      <c r="I93" s="24" t="n">
        <v>4.45</v>
      </c>
      <c r="J93" s="5" t="s">
        <v>235</v>
      </c>
      <c r="K93" s="22" t="s">
        <v>80</v>
      </c>
      <c r="L93" s="5" t="s">
        <v>236</v>
      </c>
      <c r="M93" s="22" t="s">
        <v>80</v>
      </c>
      <c r="N93" s="5" t="s">
        <v>199</v>
      </c>
      <c r="O93" s="5" t="s">
        <v>199</v>
      </c>
      <c r="P93" s="21" t="s">
        <v>75</v>
      </c>
      <c r="Q93" s="25" t="n">
        <v>0.929</v>
      </c>
    </row>
    <row r="94" customFormat="false" ht="15" hidden="false" customHeight="false" outlineLevel="0" collapsed="false">
      <c r="A94" s="5" t="s">
        <v>189</v>
      </c>
      <c r="B94" s="5" t="s">
        <v>202</v>
      </c>
      <c r="C94" s="5" t="s">
        <v>203</v>
      </c>
      <c r="D94" s="24" t="n">
        <v>3.88</v>
      </c>
      <c r="E94" s="5" t="n">
        <v>6</v>
      </c>
      <c r="F94" s="24" t="n">
        <v>2.12</v>
      </c>
      <c r="G94" s="24" t="n">
        <v>8.31</v>
      </c>
      <c r="H94" s="5" t="n">
        <v>12</v>
      </c>
      <c r="I94" s="24" t="n">
        <v>3.69</v>
      </c>
      <c r="J94" s="5" t="s">
        <v>235</v>
      </c>
      <c r="K94" s="22" t="s">
        <v>80</v>
      </c>
      <c r="L94" s="5" t="s">
        <v>236</v>
      </c>
      <c r="M94" s="22" t="s">
        <v>80</v>
      </c>
      <c r="N94" s="5" t="s">
        <v>202</v>
      </c>
      <c r="O94" s="5" t="s">
        <v>203</v>
      </c>
      <c r="P94" s="22" t="s">
        <v>80</v>
      </c>
      <c r="Q94" s="25" t="n">
        <v>0.95</v>
      </c>
    </row>
    <row r="95" customFormat="false" ht="15" hidden="false" customHeight="false" outlineLevel="0" collapsed="false">
      <c r="A95" s="5" t="s">
        <v>189</v>
      </c>
      <c r="B95" s="5" t="s">
        <v>205</v>
      </c>
      <c r="C95" s="5" t="s">
        <v>206</v>
      </c>
      <c r="D95" s="24" t="n">
        <v>5.13</v>
      </c>
      <c r="E95" s="5" t="n">
        <v>5</v>
      </c>
      <c r="F95" s="24" t="n">
        <v>0.13</v>
      </c>
      <c r="G95" s="24" t="n">
        <v>12.66</v>
      </c>
      <c r="H95" s="5" t="n">
        <v>11</v>
      </c>
      <c r="I95" s="24" t="n">
        <v>1.66</v>
      </c>
      <c r="J95" s="5" t="s">
        <v>233</v>
      </c>
      <c r="K95" s="21" t="s">
        <v>75</v>
      </c>
      <c r="L95" s="5" t="s">
        <v>234</v>
      </c>
      <c r="M95" s="21" t="s">
        <v>75</v>
      </c>
      <c r="N95" s="5" t="s">
        <v>206</v>
      </c>
      <c r="O95" s="5" t="s">
        <v>205</v>
      </c>
      <c r="P95" s="22" t="s">
        <v>80</v>
      </c>
      <c r="Q95" s="25" t="n">
        <v>0.89</v>
      </c>
    </row>
    <row r="96" customFormat="false" ht="15" hidden="false" customHeight="false" outlineLevel="0" collapsed="false">
      <c r="A96" s="5" t="s">
        <v>189</v>
      </c>
      <c r="B96" s="5" t="s">
        <v>207</v>
      </c>
      <c r="C96" s="5" t="s">
        <v>208</v>
      </c>
      <c r="D96" s="24" t="n">
        <v>2.01</v>
      </c>
      <c r="E96" s="5" t="n">
        <v>7</v>
      </c>
      <c r="F96" s="24" t="n">
        <v>4.99</v>
      </c>
      <c r="G96" s="24" t="n">
        <v>7.83</v>
      </c>
      <c r="H96" s="5" t="n">
        <v>13</v>
      </c>
      <c r="I96" s="24" t="n">
        <v>5.17</v>
      </c>
      <c r="J96" s="5" t="s">
        <v>235</v>
      </c>
      <c r="K96" s="22" t="s">
        <v>80</v>
      </c>
      <c r="L96" s="5" t="s">
        <v>236</v>
      </c>
      <c r="M96" s="22" t="s">
        <v>80</v>
      </c>
      <c r="N96" s="5" t="s">
        <v>207</v>
      </c>
      <c r="O96" s="5" t="s">
        <v>208</v>
      </c>
      <c r="P96" s="22" t="s">
        <v>80</v>
      </c>
      <c r="Q96" s="25" t="n">
        <v>0.929</v>
      </c>
    </row>
    <row r="97" customFormat="false" ht="15" hidden="false" customHeight="false" outlineLevel="0" collapsed="false">
      <c r="A97" s="5" t="s">
        <v>189</v>
      </c>
      <c r="B97" s="5" t="s">
        <v>210</v>
      </c>
      <c r="C97" s="5" t="s">
        <v>211</v>
      </c>
      <c r="D97" s="24" t="n">
        <v>6</v>
      </c>
      <c r="E97" s="5" t="n">
        <v>6</v>
      </c>
      <c r="F97" s="24" t="n">
        <v>0</v>
      </c>
      <c r="G97" s="24" t="n">
        <v>12.67</v>
      </c>
      <c r="H97" s="5" t="n">
        <v>15</v>
      </c>
      <c r="I97" s="24" t="n">
        <v>2.33</v>
      </c>
      <c r="J97" s="5" t="s">
        <v>233</v>
      </c>
      <c r="K97" s="21" t="s">
        <v>75</v>
      </c>
      <c r="L97" s="5" t="s">
        <v>234</v>
      </c>
      <c r="M97" s="21" t="s">
        <v>75</v>
      </c>
      <c r="N97" s="5" t="s">
        <v>210</v>
      </c>
      <c r="O97" s="5" t="s">
        <v>211</v>
      </c>
      <c r="P97" s="22" t="s">
        <v>80</v>
      </c>
      <c r="Q97" s="25" t="n">
        <v>0.95</v>
      </c>
    </row>
    <row r="98" customFormat="false" ht="15" hidden="false" customHeight="false" outlineLevel="0" collapsed="false">
      <c r="A98" s="5" t="s">
        <v>189</v>
      </c>
      <c r="B98" s="5" t="s">
        <v>213</v>
      </c>
      <c r="C98" s="5" t="s">
        <v>214</v>
      </c>
      <c r="D98" s="24" t="n">
        <v>4.94</v>
      </c>
      <c r="E98" s="5" t="n">
        <v>6</v>
      </c>
      <c r="F98" s="24" t="n">
        <v>1.06</v>
      </c>
      <c r="G98" s="24" t="n">
        <v>12.79</v>
      </c>
      <c r="H98" s="5" t="n">
        <v>11</v>
      </c>
      <c r="I98" s="24" t="n">
        <v>1.79</v>
      </c>
      <c r="J98" s="5" t="s">
        <v>237</v>
      </c>
      <c r="K98" s="26" t="s">
        <v>238</v>
      </c>
      <c r="L98" s="5" t="s">
        <v>234</v>
      </c>
      <c r="M98" s="21" t="s">
        <v>75</v>
      </c>
      <c r="N98" s="5" t="s">
        <v>213</v>
      </c>
      <c r="O98" s="5" t="s">
        <v>213</v>
      </c>
      <c r="P98" s="21" t="s">
        <v>75</v>
      </c>
      <c r="Q98" s="25" t="n">
        <v>0.95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9.55" hidden="false" customHeight="false" outlineLevel="0" collapsed="false">
      <c r="A3" s="4" t="s">
        <v>26</v>
      </c>
      <c r="B3" s="4" t="s">
        <v>61</v>
      </c>
      <c r="C3" s="4" t="s">
        <v>62</v>
      </c>
      <c r="D3" s="4" t="s">
        <v>341</v>
      </c>
      <c r="E3" s="4" t="s">
        <v>342</v>
      </c>
      <c r="F3" s="4" t="s">
        <v>343</v>
      </c>
      <c r="G3" s="4" t="s">
        <v>344</v>
      </c>
      <c r="H3" s="4" t="s">
        <v>345</v>
      </c>
      <c r="I3" s="4" t="s">
        <v>346</v>
      </c>
      <c r="J3" s="4" t="s">
        <v>347</v>
      </c>
      <c r="K3" s="4" t="s">
        <v>348</v>
      </c>
      <c r="L3" s="4" t="s">
        <v>219</v>
      </c>
      <c r="M3" s="4" t="s">
        <v>349</v>
      </c>
    </row>
    <row r="4" customFormat="false" ht="15" hidden="false" customHeight="false" outlineLevel="0" collapsed="false">
      <c r="A4" s="5" t="s">
        <v>71</v>
      </c>
      <c r="B4" s="5" t="s">
        <v>231</v>
      </c>
      <c r="C4" s="5" t="s">
        <v>232</v>
      </c>
      <c r="D4" s="5" t="n">
        <v>40</v>
      </c>
      <c r="E4" s="26" t="s">
        <v>350</v>
      </c>
      <c r="F4" s="24" t="n">
        <v>12.57</v>
      </c>
      <c r="G4" s="5" t="n">
        <v>14</v>
      </c>
      <c r="H4" s="24" t="n">
        <v>1.43</v>
      </c>
      <c r="I4" s="5"/>
      <c r="J4" s="26" t="s">
        <v>238</v>
      </c>
      <c r="K4" s="5"/>
      <c r="L4" s="5" t="n">
        <v>9</v>
      </c>
      <c r="M4" s="26" t="s">
        <v>238</v>
      </c>
    </row>
    <row r="5" customFormat="false" ht="15" hidden="false" customHeight="false" outlineLevel="0" collapsed="false">
      <c r="A5" s="5" t="s">
        <v>71</v>
      </c>
      <c r="B5" s="5" t="s">
        <v>72</v>
      </c>
      <c r="C5" s="5" t="s">
        <v>73</v>
      </c>
      <c r="D5" s="5" t="n">
        <v>24</v>
      </c>
      <c r="E5" s="26" t="s">
        <v>350</v>
      </c>
      <c r="F5" s="24" t="n">
        <v>10.36</v>
      </c>
      <c r="G5" s="5" t="n">
        <v>13</v>
      </c>
      <c r="H5" s="24" t="n">
        <v>2.64</v>
      </c>
      <c r="I5" s="5"/>
      <c r="J5" s="26" t="s">
        <v>238</v>
      </c>
      <c r="K5" s="5"/>
      <c r="L5" s="5" t="n">
        <v>4</v>
      </c>
      <c r="M5" s="26" t="s">
        <v>238</v>
      </c>
    </row>
    <row r="6" customFormat="false" ht="15" hidden="false" customHeight="false" outlineLevel="0" collapsed="false">
      <c r="A6" s="5" t="s">
        <v>71</v>
      </c>
      <c r="B6" s="5" t="s">
        <v>77</v>
      </c>
      <c r="C6" s="5" t="s">
        <v>78</v>
      </c>
      <c r="D6" s="5" t="n">
        <v>53</v>
      </c>
      <c r="E6" s="27" t="s">
        <v>351</v>
      </c>
      <c r="F6" s="24" t="n">
        <v>8.33</v>
      </c>
      <c r="G6" s="5" t="n">
        <v>8</v>
      </c>
      <c r="H6" s="24" t="n">
        <v>0.33</v>
      </c>
      <c r="I6" s="5" t="s">
        <v>352</v>
      </c>
      <c r="J6" s="21" t="s">
        <v>75</v>
      </c>
      <c r="K6" s="5" t="s">
        <v>353</v>
      </c>
      <c r="L6" s="5" t="n">
        <v>6</v>
      </c>
      <c r="M6" s="21" t="s">
        <v>75</v>
      </c>
    </row>
    <row r="7" customFormat="false" ht="15" hidden="false" customHeight="false" outlineLevel="0" collapsed="false">
      <c r="A7" s="5" t="s">
        <v>71</v>
      </c>
      <c r="B7" s="5" t="s">
        <v>81</v>
      </c>
      <c r="C7" s="5" t="s">
        <v>82</v>
      </c>
      <c r="D7" s="5" t="n">
        <v>14</v>
      </c>
      <c r="E7" s="26" t="s">
        <v>350</v>
      </c>
      <c r="F7" s="24" t="n">
        <v>9.67</v>
      </c>
      <c r="G7" s="5" t="n">
        <v>8</v>
      </c>
      <c r="H7" s="24" t="n">
        <v>1.67</v>
      </c>
      <c r="I7" s="5"/>
      <c r="J7" s="26" t="s">
        <v>238</v>
      </c>
      <c r="K7" s="5"/>
      <c r="L7" s="5" t="n">
        <v>5</v>
      </c>
      <c r="M7" s="26" t="s">
        <v>238</v>
      </c>
    </row>
    <row r="8" customFormat="false" ht="15" hidden="false" customHeight="false" outlineLevel="0" collapsed="false">
      <c r="A8" s="5" t="s">
        <v>71</v>
      </c>
      <c r="B8" s="5" t="s">
        <v>239</v>
      </c>
      <c r="C8" s="5" t="s">
        <v>240</v>
      </c>
      <c r="D8" s="5" t="n">
        <v>39</v>
      </c>
      <c r="E8" s="26" t="s">
        <v>350</v>
      </c>
      <c r="F8" s="24" t="n">
        <v>8.94</v>
      </c>
      <c r="G8" s="5" t="n">
        <v>10</v>
      </c>
      <c r="H8" s="24" t="n">
        <v>1.06</v>
      </c>
      <c r="I8" s="5"/>
      <c r="J8" s="26" t="s">
        <v>238</v>
      </c>
      <c r="K8" s="5"/>
      <c r="L8" s="5" t="n">
        <v>2</v>
      </c>
      <c r="M8" s="26" t="s">
        <v>238</v>
      </c>
    </row>
    <row r="9" customFormat="false" ht="15" hidden="false" customHeight="false" outlineLevel="0" collapsed="false">
      <c r="A9" s="5" t="s">
        <v>71</v>
      </c>
      <c r="B9" s="5" t="s">
        <v>84</v>
      </c>
      <c r="C9" s="5" t="s">
        <v>85</v>
      </c>
      <c r="D9" s="5" t="n">
        <v>18</v>
      </c>
      <c r="E9" s="26" t="s">
        <v>350</v>
      </c>
      <c r="F9" s="24" t="n">
        <v>12.98</v>
      </c>
      <c r="G9" s="5" t="n">
        <v>9</v>
      </c>
      <c r="H9" s="24" t="n">
        <v>3.98</v>
      </c>
      <c r="I9" s="5"/>
      <c r="J9" s="26" t="s">
        <v>238</v>
      </c>
      <c r="K9" s="5"/>
      <c r="L9" s="5" t="n">
        <v>6</v>
      </c>
      <c r="M9" s="26" t="s">
        <v>238</v>
      </c>
    </row>
    <row r="10" customFormat="false" ht="15" hidden="false" customHeight="false" outlineLevel="0" collapsed="false">
      <c r="A10" s="5" t="s">
        <v>87</v>
      </c>
      <c r="B10" s="5" t="s">
        <v>88</v>
      </c>
      <c r="C10" s="5" t="s">
        <v>89</v>
      </c>
      <c r="D10" s="5" t="n">
        <v>95</v>
      </c>
      <c r="E10" s="21" t="s">
        <v>354</v>
      </c>
      <c r="F10" s="24" t="n">
        <v>8.05</v>
      </c>
      <c r="G10" s="5" t="n">
        <v>5</v>
      </c>
      <c r="H10" s="24" t="n">
        <v>3.05</v>
      </c>
      <c r="I10" s="5" t="s">
        <v>355</v>
      </c>
      <c r="J10" s="22" t="s">
        <v>80</v>
      </c>
      <c r="K10" s="5" t="s">
        <v>356</v>
      </c>
      <c r="L10" s="5" t="n">
        <v>2</v>
      </c>
      <c r="M10" s="22" t="s">
        <v>80</v>
      </c>
    </row>
    <row r="11" customFormat="false" ht="15" hidden="false" customHeight="false" outlineLevel="0" collapsed="false">
      <c r="A11" s="5" t="s">
        <v>87</v>
      </c>
      <c r="B11" s="5" t="s">
        <v>242</v>
      </c>
      <c r="C11" s="5" t="s">
        <v>243</v>
      </c>
      <c r="D11" s="5" t="n">
        <v>49</v>
      </c>
      <c r="E11" s="26" t="s">
        <v>350</v>
      </c>
      <c r="F11" s="24" t="n">
        <v>9.43</v>
      </c>
      <c r="G11" s="5" t="n">
        <v>9</v>
      </c>
      <c r="H11" s="24" t="n">
        <v>0.43</v>
      </c>
      <c r="I11" s="5"/>
      <c r="J11" s="26" t="s">
        <v>238</v>
      </c>
      <c r="K11" s="5"/>
      <c r="L11" s="5" t="n">
        <v>4</v>
      </c>
      <c r="M11" s="26" t="s">
        <v>238</v>
      </c>
    </row>
    <row r="12" customFormat="false" ht="15" hidden="false" customHeight="false" outlineLevel="0" collapsed="false">
      <c r="A12" s="5" t="s">
        <v>87</v>
      </c>
      <c r="B12" s="5" t="s">
        <v>245</v>
      </c>
      <c r="C12" s="5" t="s">
        <v>246</v>
      </c>
      <c r="D12" s="5" t="n">
        <v>31</v>
      </c>
      <c r="E12" s="26" t="s">
        <v>350</v>
      </c>
      <c r="F12" s="24" t="n">
        <v>10.1</v>
      </c>
      <c r="G12" s="5" t="n">
        <v>6</v>
      </c>
      <c r="H12" s="24" t="n">
        <v>4.1</v>
      </c>
      <c r="I12" s="5"/>
      <c r="J12" s="26" t="s">
        <v>238</v>
      </c>
      <c r="K12" s="5"/>
      <c r="L12" s="5" t="n">
        <v>2</v>
      </c>
      <c r="M12" s="26" t="s">
        <v>238</v>
      </c>
    </row>
    <row r="13" customFormat="false" ht="15" hidden="false" customHeight="false" outlineLevel="0" collapsed="false">
      <c r="A13" s="5" t="s">
        <v>87</v>
      </c>
      <c r="B13" s="5" t="s">
        <v>247</v>
      </c>
      <c r="C13" s="5" t="s">
        <v>248</v>
      </c>
      <c r="D13" s="5" t="n">
        <v>40</v>
      </c>
      <c r="E13" s="26" t="s">
        <v>350</v>
      </c>
      <c r="F13" s="24" t="n">
        <v>9.29</v>
      </c>
      <c r="G13" s="5" t="n">
        <v>7</v>
      </c>
      <c r="H13" s="24" t="n">
        <v>2.29</v>
      </c>
      <c r="I13" s="5"/>
      <c r="J13" s="26" t="s">
        <v>238</v>
      </c>
      <c r="K13" s="5"/>
      <c r="L13" s="5" t="n">
        <v>3</v>
      </c>
      <c r="M13" s="26" t="s">
        <v>238</v>
      </c>
    </row>
    <row r="14" customFormat="false" ht="15" hidden="false" customHeight="false" outlineLevel="0" collapsed="false">
      <c r="A14" s="5" t="s">
        <v>87</v>
      </c>
      <c r="B14" s="5" t="s">
        <v>91</v>
      </c>
      <c r="C14" s="5" t="s">
        <v>92</v>
      </c>
      <c r="D14" s="5" t="n">
        <v>28</v>
      </c>
      <c r="E14" s="26" t="s">
        <v>350</v>
      </c>
      <c r="F14" s="24" t="n">
        <v>8.83</v>
      </c>
      <c r="G14" s="5" t="n">
        <v>4</v>
      </c>
      <c r="H14" s="24" t="n">
        <v>4.83</v>
      </c>
      <c r="I14" s="5"/>
      <c r="J14" s="26" t="s">
        <v>238</v>
      </c>
      <c r="K14" s="5"/>
      <c r="L14" s="5" t="n">
        <v>4</v>
      </c>
      <c r="M14" s="26" t="s">
        <v>238</v>
      </c>
    </row>
    <row r="15" customFormat="false" ht="15" hidden="false" customHeight="false" outlineLevel="0" collapsed="false">
      <c r="A15" s="5" t="s">
        <v>87</v>
      </c>
      <c r="B15" s="5" t="s">
        <v>250</v>
      </c>
      <c r="C15" s="5" t="s">
        <v>251</v>
      </c>
      <c r="D15" s="5" t="n">
        <v>9</v>
      </c>
      <c r="E15" s="26" t="s">
        <v>350</v>
      </c>
      <c r="F15" s="24" t="n">
        <v>9.71</v>
      </c>
      <c r="G15" s="5" t="n">
        <v>9</v>
      </c>
      <c r="H15" s="24" t="n">
        <v>0.710000000000001</v>
      </c>
      <c r="I15" s="5"/>
      <c r="J15" s="26" t="s">
        <v>238</v>
      </c>
      <c r="K15" s="5"/>
      <c r="L15" s="5" t="n">
        <v>3</v>
      </c>
      <c r="M15" s="26" t="s">
        <v>238</v>
      </c>
    </row>
    <row r="16" customFormat="false" ht="15" hidden="false" customHeight="false" outlineLevel="0" collapsed="false">
      <c r="A16" s="5" t="s">
        <v>87</v>
      </c>
      <c r="B16" s="5" t="s">
        <v>94</v>
      </c>
      <c r="C16" s="5" t="s">
        <v>95</v>
      </c>
      <c r="D16" s="5" t="n">
        <v>60</v>
      </c>
      <c r="E16" s="27" t="s">
        <v>351</v>
      </c>
      <c r="F16" s="24" t="n">
        <v>6.43</v>
      </c>
      <c r="G16" s="5" t="n">
        <v>13</v>
      </c>
      <c r="H16" s="24" t="n">
        <v>6.57</v>
      </c>
      <c r="I16" s="5" t="s">
        <v>352</v>
      </c>
      <c r="J16" s="21" t="s">
        <v>75</v>
      </c>
      <c r="K16" s="5" t="s">
        <v>357</v>
      </c>
      <c r="L16" s="5" t="n">
        <v>9</v>
      </c>
      <c r="M16" s="21" t="s">
        <v>75</v>
      </c>
    </row>
    <row r="17" customFormat="false" ht="15" hidden="false" customHeight="false" outlineLevel="0" collapsed="false">
      <c r="A17" s="5" t="s">
        <v>87</v>
      </c>
      <c r="B17" s="5" t="s">
        <v>97</v>
      </c>
      <c r="C17" s="5" t="s">
        <v>98</v>
      </c>
      <c r="D17" s="5" t="n">
        <v>54</v>
      </c>
      <c r="E17" s="27" t="s">
        <v>351</v>
      </c>
      <c r="F17" s="24" t="n">
        <v>7.62</v>
      </c>
      <c r="G17" s="5" t="n">
        <v>8</v>
      </c>
      <c r="H17" s="24" t="n">
        <v>0.38</v>
      </c>
      <c r="I17" s="5" t="s">
        <v>352</v>
      </c>
      <c r="J17" s="21" t="s">
        <v>75</v>
      </c>
      <c r="K17" s="5" t="s">
        <v>358</v>
      </c>
      <c r="L17" s="5" t="n">
        <v>5</v>
      </c>
      <c r="M17" s="21" t="s">
        <v>75</v>
      </c>
    </row>
    <row r="18" customFormat="false" ht="15" hidden="false" customHeight="false" outlineLevel="0" collapsed="false">
      <c r="A18" s="5" t="s">
        <v>87</v>
      </c>
      <c r="B18" s="5" t="s">
        <v>99</v>
      </c>
      <c r="C18" s="5" t="s">
        <v>100</v>
      </c>
      <c r="D18" s="5" t="n">
        <v>16</v>
      </c>
      <c r="E18" s="26" t="s">
        <v>350</v>
      </c>
      <c r="F18" s="24" t="n">
        <v>9.95</v>
      </c>
      <c r="G18" s="5" t="n">
        <v>7</v>
      </c>
      <c r="H18" s="24" t="n">
        <v>2.95</v>
      </c>
      <c r="I18" s="5"/>
      <c r="J18" s="26" t="s">
        <v>238</v>
      </c>
      <c r="K18" s="5"/>
      <c r="L18" s="5" t="n">
        <v>2</v>
      </c>
      <c r="M18" s="26" t="s">
        <v>238</v>
      </c>
    </row>
    <row r="19" customFormat="false" ht="15" hidden="false" customHeight="false" outlineLevel="0" collapsed="false">
      <c r="A19" s="5" t="s">
        <v>87</v>
      </c>
      <c r="B19" s="5" t="s">
        <v>253</v>
      </c>
      <c r="C19" s="5" t="s">
        <v>254</v>
      </c>
      <c r="D19" s="5" t="n">
        <v>46</v>
      </c>
      <c r="E19" s="26" t="s">
        <v>350</v>
      </c>
      <c r="F19" s="24" t="n">
        <v>7.02</v>
      </c>
      <c r="G19" s="5" t="n">
        <v>12</v>
      </c>
      <c r="H19" s="24" t="n">
        <v>4.98</v>
      </c>
      <c r="I19" s="5"/>
      <c r="J19" s="26" t="s">
        <v>238</v>
      </c>
      <c r="K19" s="5"/>
      <c r="L19" s="5" t="n">
        <v>7</v>
      </c>
      <c r="M19" s="26" t="s">
        <v>238</v>
      </c>
    </row>
    <row r="20" customFormat="false" ht="15" hidden="false" customHeight="false" outlineLevel="0" collapsed="false">
      <c r="A20" s="5" t="s">
        <v>87</v>
      </c>
      <c r="B20" s="5" t="s">
        <v>102</v>
      </c>
      <c r="C20" s="5" t="s">
        <v>103</v>
      </c>
      <c r="D20" s="5" t="n">
        <v>75</v>
      </c>
      <c r="E20" s="21" t="s">
        <v>354</v>
      </c>
      <c r="F20" s="24" t="n">
        <v>6.17</v>
      </c>
      <c r="G20" s="5" t="n">
        <v>5</v>
      </c>
      <c r="H20" s="24" t="n">
        <v>1.17</v>
      </c>
      <c r="I20" s="5" t="s">
        <v>355</v>
      </c>
      <c r="J20" s="22" t="s">
        <v>80</v>
      </c>
      <c r="K20" s="5" t="s">
        <v>359</v>
      </c>
      <c r="L20" s="5" t="n">
        <v>1</v>
      </c>
      <c r="M20" s="22" t="s">
        <v>80</v>
      </c>
    </row>
    <row r="21" customFormat="false" ht="15" hidden="false" customHeight="false" outlineLevel="0" collapsed="false">
      <c r="A21" s="5" t="s">
        <v>87</v>
      </c>
      <c r="B21" s="5" t="s">
        <v>105</v>
      </c>
      <c r="C21" s="5" t="s">
        <v>106</v>
      </c>
      <c r="D21" s="5" t="n">
        <v>75</v>
      </c>
      <c r="E21" s="21" t="s">
        <v>354</v>
      </c>
      <c r="F21" s="24" t="n">
        <v>11.31</v>
      </c>
      <c r="G21" s="5" t="n">
        <v>9</v>
      </c>
      <c r="H21" s="24" t="n">
        <v>2.31</v>
      </c>
      <c r="I21" s="5" t="s">
        <v>355</v>
      </c>
      <c r="J21" s="21" t="s">
        <v>75</v>
      </c>
      <c r="K21" s="5" t="s">
        <v>360</v>
      </c>
      <c r="L21" s="5" t="n">
        <v>6</v>
      </c>
      <c r="M21" s="21" t="s">
        <v>75</v>
      </c>
    </row>
    <row r="22" customFormat="false" ht="15" hidden="false" customHeight="false" outlineLevel="0" collapsed="false">
      <c r="A22" s="5" t="s">
        <v>87</v>
      </c>
      <c r="B22" s="5" t="s">
        <v>255</v>
      </c>
      <c r="C22" s="5" t="s">
        <v>256</v>
      </c>
      <c r="D22" s="5" t="n">
        <v>29</v>
      </c>
      <c r="E22" s="26" t="s">
        <v>350</v>
      </c>
      <c r="F22" s="24" t="n">
        <v>8.64</v>
      </c>
      <c r="G22" s="5" t="n">
        <v>9</v>
      </c>
      <c r="H22" s="24" t="n">
        <v>0.359999999999999</v>
      </c>
      <c r="I22" s="5"/>
      <c r="J22" s="26" t="s">
        <v>238</v>
      </c>
      <c r="K22" s="5"/>
      <c r="L22" s="5" t="n">
        <v>5</v>
      </c>
      <c r="M22" s="26" t="s">
        <v>238</v>
      </c>
    </row>
    <row r="23" customFormat="false" ht="15" hidden="false" customHeight="false" outlineLevel="0" collapsed="false">
      <c r="A23" s="5" t="s">
        <v>87</v>
      </c>
      <c r="B23" s="5" t="s">
        <v>108</v>
      </c>
      <c r="C23" s="5" t="s">
        <v>109</v>
      </c>
      <c r="D23" s="5" t="n">
        <v>17</v>
      </c>
      <c r="E23" s="26" t="s">
        <v>350</v>
      </c>
      <c r="F23" s="24" t="n">
        <v>8.17</v>
      </c>
      <c r="G23" s="5" t="n">
        <v>6</v>
      </c>
      <c r="H23" s="24" t="n">
        <v>2.17</v>
      </c>
      <c r="I23" s="5"/>
      <c r="J23" s="26" t="s">
        <v>238</v>
      </c>
      <c r="K23" s="5"/>
      <c r="L23" s="5" t="n">
        <v>2</v>
      </c>
      <c r="M23" s="26" t="s">
        <v>238</v>
      </c>
    </row>
    <row r="24" customFormat="false" ht="15" hidden="false" customHeight="false" outlineLevel="0" collapsed="false">
      <c r="A24" s="5" t="s">
        <v>111</v>
      </c>
      <c r="B24" s="5" t="s">
        <v>257</v>
      </c>
      <c r="C24" s="5" t="s">
        <v>258</v>
      </c>
      <c r="D24" s="5" t="n">
        <v>46</v>
      </c>
      <c r="E24" s="26" t="s">
        <v>350</v>
      </c>
      <c r="F24" s="24" t="n">
        <v>8.75</v>
      </c>
      <c r="G24" s="5" t="n">
        <v>10</v>
      </c>
      <c r="H24" s="24" t="n">
        <v>1.25</v>
      </c>
      <c r="I24" s="5"/>
      <c r="J24" s="26" t="s">
        <v>238</v>
      </c>
      <c r="K24" s="5"/>
      <c r="L24" s="5" t="n">
        <v>4</v>
      </c>
      <c r="M24" s="26" t="s">
        <v>238</v>
      </c>
    </row>
    <row r="25" customFormat="false" ht="15" hidden="false" customHeight="false" outlineLevel="0" collapsed="false">
      <c r="A25" s="5" t="s">
        <v>111</v>
      </c>
      <c r="B25" s="5" t="s">
        <v>112</v>
      </c>
      <c r="C25" s="5" t="s">
        <v>113</v>
      </c>
      <c r="D25" s="5" t="n">
        <v>57</v>
      </c>
      <c r="E25" s="27" t="s">
        <v>351</v>
      </c>
      <c r="F25" s="24" t="n">
        <v>8.35</v>
      </c>
      <c r="G25" s="5" t="n">
        <v>4</v>
      </c>
      <c r="H25" s="24" t="n">
        <v>4.35</v>
      </c>
      <c r="I25" s="5" t="s">
        <v>352</v>
      </c>
      <c r="J25" s="22" t="s">
        <v>80</v>
      </c>
      <c r="K25" s="5" t="s">
        <v>359</v>
      </c>
      <c r="L25" s="5" t="n">
        <v>3</v>
      </c>
      <c r="M25" s="21" t="s">
        <v>75</v>
      </c>
    </row>
    <row r="26" customFormat="false" ht="15" hidden="false" customHeight="false" outlineLevel="0" collapsed="false">
      <c r="A26" s="5" t="s">
        <v>111</v>
      </c>
      <c r="B26" s="5" t="s">
        <v>259</v>
      </c>
      <c r="C26" s="5" t="s">
        <v>260</v>
      </c>
      <c r="D26" s="5" t="n">
        <v>14</v>
      </c>
      <c r="E26" s="26" t="s">
        <v>350</v>
      </c>
      <c r="F26" s="24" t="n">
        <v>10.95</v>
      </c>
      <c r="G26" s="5" t="n">
        <v>13</v>
      </c>
      <c r="H26" s="24" t="n">
        <v>2.05</v>
      </c>
      <c r="I26" s="5"/>
      <c r="J26" s="26" t="s">
        <v>238</v>
      </c>
      <c r="K26" s="5"/>
      <c r="L26" s="5" t="n">
        <v>9</v>
      </c>
      <c r="M26" s="26" t="s">
        <v>238</v>
      </c>
    </row>
    <row r="27" customFormat="false" ht="15" hidden="false" customHeight="false" outlineLevel="0" collapsed="false">
      <c r="A27" s="5" t="s">
        <v>111</v>
      </c>
      <c r="B27" s="5" t="s">
        <v>115</v>
      </c>
      <c r="C27" s="5" t="s">
        <v>116</v>
      </c>
      <c r="D27" s="5" t="n">
        <v>61</v>
      </c>
      <c r="E27" s="27" t="s">
        <v>351</v>
      </c>
      <c r="F27" s="24" t="n">
        <v>4.93</v>
      </c>
      <c r="G27" s="5" t="n">
        <v>7</v>
      </c>
      <c r="H27" s="24" t="n">
        <v>2.07</v>
      </c>
      <c r="I27" s="5" t="s">
        <v>352</v>
      </c>
      <c r="J27" s="21" t="s">
        <v>75</v>
      </c>
      <c r="K27" s="5" t="s">
        <v>357</v>
      </c>
      <c r="L27" s="5" t="n">
        <v>0</v>
      </c>
      <c r="M27" s="22" t="s">
        <v>80</v>
      </c>
    </row>
    <row r="28" customFormat="false" ht="15" hidden="false" customHeight="false" outlineLevel="0" collapsed="false">
      <c r="A28" s="5" t="s">
        <v>111</v>
      </c>
      <c r="B28" s="5" t="s">
        <v>118</v>
      </c>
      <c r="C28" s="5" t="s">
        <v>119</v>
      </c>
      <c r="D28" s="5" t="n">
        <v>15</v>
      </c>
      <c r="E28" s="26" t="s">
        <v>350</v>
      </c>
      <c r="F28" s="24" t="n">
        <v>8.2</v>
      </c>
      <c r="G28" s="5" t="n">
        <v>7</v>
      </c>
      <c r="H28" s="24" t="n">
        <v>1.2</v>
      </c>
      <c r="I28" s="5"/>
      <c r="J28" s="26" t="s">
        <v>238</v>
      </c>
      <c r="K28" s="5"/>
      <c r="L28" s="5" t="n">
        <v>3</v>
      </c>
      <c r="M28" s="26" t="s">
        <v>238</v>
      </c>
    </row>
    <row r="29" customFormat="false" ht="15" hidden="false" customHeight="false" outlineLevel="0" collapsed="false">
      <c r="A29" s="5" t="s">
        <v>111</v>
      </c>
      <c r="B29" s="5" t="s">
        <v>261</v>
      </c>
      <c r="C29" s="5" t="s">
        <v>262</v>
      </c>
      <c r="D29" s="5" t="n">
        <v>26</v>
      </c>
      <c r="E29" s="26" t="s">
        <v>350</v>
      </c>
      <c r="F29" s="24" t="n">
        <v>7.7</v>
      </c>
      <c r="G29" s="5" t="n">
        <v>11</v>
      </c>
      <c r="H29" s="24" t="n">
        <v>3.3</v>
      </c>
      <c r="I29" s="5"/>
      <c r="J29" s="26" t="s">
        <v>238</v>
      </c>
      <c r="K29" s="5"/>
      <c r="L29" s="5" t="n">
        <v>6</v>
      </c>
      <c r="M29" s="26" t="s">
        <v>238</v>
      </c>
    </row>
    <row r="30" customFormat="false" ht="15" hidden="false" customHeight="false" outlineLevel="0" collapsed="false">
      <c r="A30" s="5" t="s">
        <v>111</v>
      </c>
      <c r="B30" s="5" t="s">
        <v>120</v>
      </c>
      <c r="C30" s="5" t="s">
        <v>121</v>
      </c>
      <c r="D30" s="5" t="n">
        <v>14</v>
      </c>
      <c r="E30" s="26" t="s">
        <v>350</v>
      </c>
      <c r="F30" s="24" t="n">
        <v>9.65</v>
      </c>
      <c r="G30" s="5" t="n">
        <v>6</v>
      </c>
      <c r="H30" s="24" t="n">
        <v>3.65</v>
      </c>
      <c r="I30" s="5"/>
      <c r="J30" s="26" t="s">
        <v>238</v>
      </c>
      <c r="K30" s="5"/>
      <c r="L30" s="5" t="n">
        <v>5</v>
      </c>
      <c r="M30" s="26" t="s">
        <v>238</v>
      </c>
    </row>
    <row r="31" customFormat="false" ht="15" hidden="false" customHeight="false" outlineLevel="0" collapsed="false">
      <c r="A31" s="5" t="s">
        <v>111</v>
      </c>
      <c r="B31" s="5" t="s">
        <v>263</v>
      </c>
      <c r="C31" s="5" t="s">
        <v>264</v>
      </c>
      <c r="D31" s="5" t="n">
        <v>17</v>
      </c>
      <c r="E31" s="26" t="s">
        <v>350</v>
      </c>
      <c r="F31" s="24" t="n">
        <v>12.45</v>
      </c>
      <c r="G31" s="5" t="n">
        <v>7</v>
      </c>
      <c r="H31" s="24" t="n">
        <v>5.45</v>
      </c>
      <c r="I31" s="5"/>
      <c r="J31" s="26" t="s">
        <v>238</v>
      </c>
      <c r="K31" s="5"/>
      <c r="L31" s="5" t="n">
        <v>3</v>
      </c>
      <c r="M31" s="26" t="s">
        <v>238</v>
      </c>
    </row>
    <row r="32" customFormat="false" ht="15" hidden="false" customHeight="false" outlineLevel="0" collapsed="false">
      <c r="A32" s="5" t="s">
        <v>111</v>
      </c>
      <c r="B32" s="5" t="s">
        <v>265</v>
      </c>
      <c r="C32" s="5" t="s">
        <v>266</v>
      </c>
      <c r="D32" s="5" t="n">
        <v>45</v>
      </c>
      <c r="E32" s="26" t="s">
        <v>350</v>
      </c>
      <c r="F32" s="24" t="n">
        <v>5.3</v>
      </c>
      <c r="G32" s="5" t="n">
        <v>6</v>
      </c>
      <c r="H32" s="24" t="n">
        <v>0.7</v>
      </c>
      <c r="I32" s="5"/>
      <c r="J32" s="26" t="s">
        <v>238</v>
      </c>
      <c r="K32" s="5"/>
      <c r="L32" s="5" t="n">
        <v>3</v>
      </c>
      <c r="M32" s="26" t="s">
        <v>238</v>
      </c>
    </row>
    <row r="33" customFormat="false" ht="15" hidden="false" customHeight="false" outlineLevel="0" collapsed="false">
      <c r="A33" s="5" t="s">
        <v>111</v>
      </c>
      <c r="B33" s="5" t="s">
        <v>267</v>
      </c>
      <c r="C33" s="5" t="s">
        <v>268</v>
      </c>
      <c r="D33" s="5" t="n">
        <v>37</v>
      </c>
      <c r="E33" s="26" t="s">
        <v>350</v>
      </c>
      <c r="F33" s="24" t="n">
        <v>9.4</v>
      </c>
      <c r="G33" s="5" t="n">
        <v>16</v>
      </c>
      <c r="H33" s="24" t="n">
        <v>6.6</v>
      </c>
      <c r="I33" s="5"/>
      <c r="J33" s="26" t="s">
        <v>238</v>
      </c>
      <c r="K33" s="5"/>
      <c r="L33" s="5" t="n">
        <v>7</v>
      </c>
      <c r="M33" s="26" t="s">
        <v>238</v>
      </c>
    </row>
    <row r="34" customFormat="false" ht="15" hidden="false" customHeight="false" outlineLevel="0" collapsed="false">
      <c r="A34" s="5" t="s">
        <v>111</v>
      </c>
      <c r="B34" s="5" t="s">
        <v>123</v>
      </c>
      <c r="C34" s="5" t="s">
        <v>124</v>
      </c>
      <c r="D34" s="5" t="n">
        <v>50</v>
      </c>
      <c r="E34" s="27" t="s">
        <v>351</v>
      </c>
      <c r="F34" s="24" t="n">
        <v>7.5</v>
      </c>
      <c r="G34" s="5" t="n">
        <v>7</v>
      </c>
      <c r="H34" s="24" t="n">
        <v>0.5</v>
      </c>
      <c r="I34" s="5" t="s">
        <v>352</v>
      </c>
      <c r="J34" s="21" t="s">
        <v>75</v>
      </c>
      <c r="K34" s="5" t="s">
        <v>360</v>
      </c>
      <c r="L34" s="5" t="n">
        <v>6</v>
      </c>
      <c r="M34" s="21" t="s">
        <v>75</v>
      </c>
    </row>
    <row r="35" customFormat="false" ht="15" hidden="false" customHeight="false" outlineLevel="0" collapsed="false">
      <c r="A35" s="5" t="s">
        <v>111</v>
      </c>
      <c r="B35" s="5" t="s">
        <v>126</v>
      </c>
      <c r="C35" s="5" t="s">
        <v>127</v>
      </c>
      <c r="D35" s="5" t="n">
        <v>91</v>
      </c>
      <c r="E35" s="21" t="s">
        <v>354</v>
      </c>
      <c r="F35" s="24" t="n">
        <v>12.27</v>
      </c>
      <c r="G35" s="5" t="n">
        <v>8</v>
      </c>
      <c r="H35" s="24" t="n">
        <v>4.27</v>
      </c>
      <c r="I35" s="5" t="s">
        <v>355</v>
      </c>
      <c r="J35" s="21" t="s">
        <v>75</v>
      </c>
      <c r="K35" s="5" t="s">
        <v>360</v>
      </c>
      <c r="L35" s="5" t="n">
        <v>4</v>
      </c>
      <c r="M35" s="22" t="s">
        <v>80</v>
      </c>
    </row>
    <row r="36" customFormat="false" ht="15" hidden="false" customHeight="false" outlineLevel="0" collapsed="false">
      <c r="A36" s="5" t="s">
        <v>111</v>
      </c>
      <c r="B36" s="5" t="s">
        <v>129</v>
      </c>
      <c r="C36" s="5" t="s">
        <v>130</v>
      </c>
      <c r="D36" s="5" t="n">
        <v>6</v>
      </c>
      <c r="E36" s="26" t="s">
        <v>350</v>
      </c>
      <c r="F36" s="24" t="n">
        <v>6.9</v>
      </c>
      <c r="G36" s="5" t="n">
        <v>7</v>
      </c>
      <c r="H36" s="24" t="n">
        <v>0.0999999999999996</v>
      </c>
      <c r="I36" s="5"/>
      <c r="J36" s="26" t="s">
        <v>238</v>
      </c>
      <c r="K36" s="5"/>
      <c r="L36" s="5" t="n">
        <v>3</v>
      </c>
      <c r="M36" s="26" t="s">
        <v>238</v>
      </c>
    </row>
    <row r="37" customFormat="false" ht="15" hidden="false" customHeight="false" outlineLevel="0" collapsed="false">
      <c r="A37" s="5" t="s">
        <v>111</v>
      </c>
      <c r="B37" s="5" t="s">
        <v>269</v>
      </c>
      <c r="C37" s="5" t="s">
        <v>270</v>
      </c>
      <c r="D37" s="5" t="n">
        <v>43</v>
      </c>
      <c r="E37" s="26" t="s">
        <v>350</v>
      </c>
      <c r="F37" s="24" t="n">
        <v>9.4</v>
      </c>
      <c r="G37" s="5" t="n">
        <v>5</v>
      </c>
      <c r="H37" s="24" t="n">
        <v>4.4</v>
      </c>
      <c r="I37" s="5"/>
      <c r="J37" s="26" t="s">
        <v>238</v>
      </c>
      <c r="K37" s="5"/>
      <c r="L37" s="5" t="n">
        <v>3</v>
      </c>
      <c r="M37" s="26" t="s">
        <v>238</v>
      </c>
    </row>
    <row r="38" customFormat="false" ht="15" hidden="false" customHeight="false" outlineLevel="0" collapsed="false">
      <c r="A38" s="5" t="s">
        <v>111</v>
      </c>
      <c r="B38" s="5" t="s">
        <v>132</v>
      </c>
      <c r="C38" s="5" t="s">
        <v>133</v>
      </c>
      <c r="D38" s="5" t="n">
        <v>79</v>
      </c>
      <c r="E38" s="21" t="s">
        <v>354</v>
      </c>
      <c r="F38" s="24" t="n">
        <v>6.33</v>
      </c>
      <c r="G38" s="5" t="n">
        <v>15</v>
      </c>
      <c r="H38" s="24" t="n">
        <v>8.67</v>
      </c>
      <c r="I38" s="5" t="s">
        <v>355</v>
      </c>
      <c r="J38" s="21" t="s">
        <v>75</v>
      </c>
      <c r="K38" s="5" t="s">
        <v>357</v>
      </c>
      <c r="L38" s="5" t="n">
        <v>7</v>
      </c>
      <c r="M38" s="21" t="s">
        <v>75</v>
      </c>
    </row>
    <row r="39" customFormat="false" ht="15" hidden="false" customHeight="false" outlineLevel="0" collapsed="false">
      <c r="A39" s="5" t="s">
        <v>111</v>
      </c>
      <c r="B39" s="5" t="s">
        <v>271</v>
      </c>
      <c r="C39" s="5" t="s">
        <v>272</v>
      </c>
      <c r="D39" s="5" t="n">
        <v>20</v>
      </c>
      <c r="E39" s="26" t="s">
        <v>350</v>
      </c>
      <c r="F39" s="24" t="n">
        <v>9.55</v>
      </c>
      <c r="G39" s="5" t="n">
        <v>7</v>
      </c>
      <c r="H39" s="24" t="n">
        <v>2.55</v>
      </c>
      <c r="I39" s="5"/>
      <c r="J39" s="26" t="s">
        <v>238</v>
      </c>
      <c r="K39" s="5"/>
      <c r="L39" s="5" t="n">
        <v>2</v>
      </c>
      <c r="M39" s="26" t="s">
        <v>238</v>
      </c>
    </row>
    <row r="40" customFormat="false" ht="15" hidden="false" customHeight="false" outlineLevel="0" collapsed="false">
      <c r="A40" s="5" t="s">
        <v>111</v>
      </c>
      <c r="B40" s="5" t="s">
        <v>273</v>
      </c>
      <c r="C40" s="5" t="s">
        <v>274</v>
      </c>
      <c r="D40" s="5" t="n">
        <v>15</v>
      </c>
      <c r="E40" s="26" t="s">
        <v>350</v>
      </c>
      <c r="F40" s="24" t="n">
        <v>7.07</v>
      </c>
      <c r="G40" s="5" t="n">
        <v>7</v>
      </c>
      <c r="H40" s="24" t="n">
        <v>0.0700000000000003</v>
      </c>
      <c r="I40" s="5"/>
      <c r="J40" s="26" t="s">
        <v>238</v>
      </c>
      <c r="K40" s="5"/>
      <c r="L40" s="5" t="n">
        <v>2</v>
      </c>
      <c r="M40" s="26" t="s">
        <v>238</v>
      </c>
    </row>
    <row r="41" customFormat="false" ht="15" hidden="false" customHeight="false" outlineLevel="0" collapsed="false">
      <c r="A41" s="5" t="s">
        <v>111</v>
      </c>
      <c r="B41" s="5" t="s">
        <v>275</v>
      </c>
      <c r="C41" s="5" t="s">
        <v>276</v>
      </c>
      <c r="D41" s="5" t="n">
        <v>34</v>
      </c>
      <c r="E41" s="26" t="s">
        <v>350</v>
      </c>
      <c r="F41" s="24" t="n">
        <v>7.67</v>
      </c>
      <c r="G41" s="5" t="n">
        <v>13</v>
      </c>
      <c r="H41" s="24" t="n">
        <v>5.33</v>
      </c>
      <c r="I41" s="5"/>
      <c r="J41" s="26" t="s">
        <v>238</v>
      </c>
      <c r="K41" s="5"/>
      <c r="L41" s="5" t="n">
        <v>7</v>
      </c>
      <c r="M41" s="26" t="s">
        <v>238</v>
      </c>
    </row>
    <row r="42" customFormat="false" ht="15" hidden="false" customHeight="false" outlineLevel="0" collapsed="false">
      <c r="A42" s="5" t="s">
        <v>135</v>
      </c>
      <c r="B42" s="5" t="s">
        <v>277</v>
      </c>
      <c r="C42" s="5" t="s">
        <v>278</v>
      </c>
      <c r="D42" s="5" t="n">
        <v>58</v>
      </c>
      <c r="E42" s="27" t="s">
        <v>351</v>
      </c>
      <c r="F42" s="24" t="n">
        <v>9.3</v>
      </c>
      <c r="G42" s="5" t="n">
        <v>8</v>
      </c>
      <c r="H42" s="24" t="n">
        <v>1.3</v>
      </c>
      <c r="I42" s="5" t="s">
        <v>352</v>
      </c>
      <c r="J42" s="22" t="s">
        <v>80</v>
      </c>
      <c r="K42" s="5" t="s">
        <v>356</v>
      </c>
      <c r="L42" s="5" t="n">
        <v>6</v>
      </c>
      <c r="M42" s="21" t="s">
        <v>75</v>
      </c>
    </row>
    <row r="43" customFormat="false" ht="15" hidden="false" customHeight="false" outlineLevel="0" collapsed="false">
      <c r="A43" s="5" t="s">
        <v>135</v>
      </c>
      <c r="B43" s="5" t="s">
        <v>279</v>
      </c>
      <c r="C43" s="5" t="s">
        <v>280</v>
      </c>
      <c r="D43" s="5" t="n">
        <v>20</v>
      </c>
      <c r="E43" s="26" t="s">
        <v>350</v>
      </c>
      <c r="F43" s="24" t="n">
        <v>7.3</v>
      </c>
      <c r="G43" s="5" t="n">
        <v>9</v>
      </c>
      <c r="H43" s="24" t="n">
        <v>1.7</v>
      </c>
      <c r="I43" s="5"/>
      <c r="J43" s="26" t="s">
        <v>238</v>
      </c>
      <c r="K43" s="5"/>
      <c r="L43" s="5" t="n">
        <v>6</v>
      </c>
      <c r="M43" s="26" t="s">
        <v>238</v>
      </c>
    </row>
    <row r="44" customFormat="false" ht="15" hidden="false" customHeight="false" outlineLevel="0" collapsed="false">
      <c r="A44" s="5" t="s">
        <v>135</v>
      </c>
      <c r="B44" s="5" t="s">
        <v>282</v>
      </c>
      <c r="C44" s="5" t="s">
        <v>283</v>
      </c>
      <c r="D44" s="5" t="n">
        <v>24</v>
      </c>
      <c r="E44" s="26" t="s">
        <v>350</v>
      </c>
      <c r="F44" s="24" t="n">
        <v>12</v>
      </c>
      <c r="G44" s="5" t="n">
        <v>8</v>
      </c>
      <c r="H44" s="24" t="n">
        <v>4</v>
      </c>
      <c r="I44" s="5"/>
      <c r="J44" s="26" t="s">
        <v>238</v>
      </c>
      <c r="K44" s="5"/>
      <c r="L44" s="5" t="n">
        <v>3</v>
      </c>
      <c r="M44" s="26" t="s">
        <v>238</v>
      </c>
    </row>
    <row r="45" customFormat="false" ht="15" hidden="false" customHeight="false" outlineLevel="0" collapsed="false">
      <c r="A45" s="5" t="s">
        <v>135</v>
      </c>
      <c r="B45" s="5" t="s">
        <v>136</v>
      </c>
      <c r="C45" s="5" t="s">
        <v>137</v>
      </c>
      <c r="D45" s="5" t="n">
        <v>10</v>
      </c>
      <c r="E45" s="26" t="s">
        <v>350</v>
      </c>
      <c r="F45" s="24" t="n">
        <v>11.7</v>
      </c>
      <c r="G45" s="5" t="n">
        <v>8</v>
      </c>
      <c r="H45" s="24" t="n">
        <v>3.7</v>
      </c>
      <c r="I45" s="5"/>
      <c r="J45" s="26" t="s">
        <v>238</v>
      </c>
      <c r="K45" s="5"/>
      <c r="L45" s="5" t="n">
        <v>4</v>
      </c>
      <c r="M45" s="26" t="s">
        <v>238</v>
      </c>
    </row>
    <row r="46" customFormat="false" ht="15" hidden="false" customHeight="false" outlineLevel="0" collapsed="false">
      <c r="A46" s="5" t="s">
        <v>135</v>
      </c>
      <c r="B46" s="5" t="s">
        <v>284</v>
      </c>
      <c r="C46" s="5" t="s">
        <v>285</v>
      </c>
      <c r="D46" s="5" t="n">
        <v>47</v>
      </c>
      <c r="E46" s="26" t="s">
        <v>350</v>
      </c>
      <c r="F46" s="24" t="n">
        <v>11.23</v>
      </c>
      <c r="G46" s="5" t="n">
        <v>13</v>
      </c>
      <c r="H46" s="24" t="n">
        <v>1.77</v>
      </c>
      <c r="I46" s="5"/>
      <c r="J46" s="26" t="s">
        <v>238</v>
      </c>
      <c r="K46" s="5"/>
      <c r="L46" s="5" t="n">
        <v>7</v>
      </c>
      <c r="M46" s="26" t="s">
        <v>238</v>
      </c>
    </row>
    <row r="47" customFormat="false" ht="15" hidden="false" customHeight="false" outlineLevel="0" collapsed="false">
      <c r="A47" s="5" t="s">
        <v>135</v>
      </c>
      <c r="B47" s="5" t="s">
        <v>139</v>
      </c>
      <c r="C47" s="5" t="s">
        <v>140</v>
      </c>
      <c r="D47" s="5" t="n">
        <v>21</v>
      </c>
      <c r="E47" s="26" t="s">
        <v>350</v>
      </c>
      <c r="F47" s="24" t="n">
        <v>9.2</v>
      </c>
      <c r="G47" s="5" t="n">
        <v>12</v>
      </c>
      <c r="H47" s="24" t="n">
        <v>2.8</v>
      </c>
      <c r="I47" s="5"/>
      <c r="J47" s="26" t="s">
        <v>238</v>
      </c>
      <c r="K47" s="5"/>
      <c r="L47" s="5" t="n">
        <v>6</v>
      </c>
      <c r="M47" s="26" t="s">
        <v>238</v>
      </c>
    </row>
    <row r="48" customFormat="false" ht="15" hidden="false" customHeight="false" outlineLevel="0" collapsed="false">
      <c r="A48" s="5" t="s">
        <v>135</v>
      </c>
      <c r="B48" s="5" t="s">
        <v>142</v>
      </c>
      <c r="C48" s="5" t="s">
        <v>143</v>
      </c>
      <c r="D48" s="5" t="n">
        <v>75</v>
      </c>
      <c r="E48" s="21" t="s">
        <v>354</v>
      </c>
      <c r="F48" s="24" t="n">
        <v>8</v>
      </c>
      <c r="G48" s="5" t="n">
        <v>8</v>
      </c>
      <c r="H48" s="24" t="n">
        <v>0</v>
      </c>
      <c r="I48" s="5" t="s">
        <v>355</v>
      </c>
      <c r="J48" s="21" t="s">
        <v>75</v>
      </c>
      <c r="K48" s="5" t="s">
        <v>356</v>
      </c>
      <c r="L48" s="5" t="n">
        <v>3</v>
      </c>
      <c r="M48" s="22" t="s">
        <v>80</v>
      </c>
    </row>
    <row r="49" customFormat="false" ht="15" hidden="false" customHeight="false" outlineLevel="0" collapsed="false">
      <c r="A49" s="5" t="s">
        <v>135</v>
      </c>
      <c r="B49" s="5" t="s">
        <v>145</v>
      </c>
      <c r="C49" s="5" t="s">
        <v>146</v>
      </c>
      <c r="D49" s="5" t="n">
        <v>66</v>
      </c>
      <c r="E49" s="21" t="s">
        <v>354</v>
      </c>
      <c r="F49" s="24" t="n">
        <v>9.03</v>
      </c>
      <c r="G49" s="5" t="n">
        <v>7</v>
      </c>
      <c r="H49" s="24" t="n">
        <v>2.03</v>
      </c>
      <c r="I49" s="5" t="s">
        <v>355</v>
      </c>
      <c r="J49" s="21" t="s">
        <v>75</v>
      </c>
      <c r="K49" s="5" t="s">
        <v>353</v>
      </c>
      <c r="L49" s="5" t="n">
        <v>4</v>
      </c>
      <c r="M49" s="22" t="s">
        <v>80</v>
      </c>
    </row>
    <row r="50" customFormat="false" ht="15" hidden="false" customHeight="false" outlineLevel="0" collapsed="false">
      <c r="A50" s="5" t="s">
        <v>135</v>
      </c>
      <c r="B50" s="5" t="s">
        <v>287</v>
      </c>
      <c r="C50" s="5" t="s">
        <v>288</v>
      </c>
      <c r="D50" s="5" t="n">
        <v>11</v>
      </c>
      <c r="E50" s="26" t="s">
        <v>350</v>
      </c>
      <c r="F50" s="24" t="n">
        <v>9.8</v>
      </c>
      <c r="G50" s="5" t="n">
        <v>5</v>
      </c>
      <c r="H50" s="24" t="n">
        <v>4.8</v>
      </c>
      <c r="I50" s="5"/>
      <c r="J50" s="26" t="s">
        <v>238</v>
      </c>
      <c r="K50" s="5"/>
      <c r="L50" s="5" t="n">
        <v>1</v>
      </c>
      <c r="M50" s="26" t="s">
        <v>238</v>
      </c>
    </row>
    <row r="51" customFormat="false" ht="15" hidden="false" customHeight="false" outlineLevel="0" collapsed="false">
      <c r="A51" s="5" t="s">
        <v>135</v>
      </c>
      <c r="B51" s="5" t="s">
        <v>289</v>
      </c>
      <c r="C51" s="5" t="s">
        <v>290</v>
      </c>
      <c r="D51" s="5" t="n">
        <v>39</v>
      </c>
      <c r="E51" s="26" t="s">
        <v>350</v>
      </c>
      <c r="F51" s="24" t="n">
        <v>11</v>
      </c>
      <c r="G51" s="5" t="n">
        <v>16</v>
      </c>
      <c r="H51" s="24" t="n">
        <v>5</v>
      </c>
      <c r="I51" s="5"/>
      <c r="J51" s="26" t="s">
        <v>238</v>
      </c>
      <c r="K51" s="5"/>
      <c r="L51" s="5" t="n">
        <v>6</v>
      </c>
      <c r="M51" s="26" t="s">
        <v>238</v>
      </c>
    </row>
    <row r="52" customFormat="false" ht="15" hidden="false" customHeight="false" outlineLevel="0" collapsed="false">
      <c r="A52" s="5" t="s">
        <v>147</v>
      </c>
      <c r="B52" s="5" t="s">
        <v>148</v>
      </c>
      <c r="C52" s="5" t="s">
        <v>149</v>
      </c>
      <c r="D52" s="5" t="n">
        <v>26</v>
      </c>
      <c r="E52" s="26" t="s">
        <v>350</v>
      </c>
      <c r="F52" s="24" t="n">
        <v>9</v>
      </c>
      <c r="G52" s="5" t="n">
        <v>16</v>
      </c>
      <c r="H52" s="24" t="n">
        <v>7</v>
      </c>
      <c r="I52" s="5"/>
      <c r="J52" s="26" t="s">
        <v>238</v>
      </c>
      <c r="K52" s="5"/>
      <c r="L52" s="5" t="n">
        <v>6</v>
      </c>
      <c r="M52" s="26" t="s">
        <v>238</v>
      </c>
    </row>
    <row r="53" customFormat="false" ht="15" hidden="false" customHeight="false" outlineLevel="0" collapsed="false">
      <c r="A53" s="5" t="s">
        <v>147</v>
      </c>
      <c r="B53" s="5" t="s">
        <v>151</v>
      </c>
      <c r="C53" s="5" t="s">
        <v>152</v>
      </c>
      <c r="D53" s="5" t="n">
        <v>65</v>
      </c>
      <c r="E53" s="21" t="s">
        <v>354</v>
      </c>
      <c r="F53" s="24" t="n">
        <v>11.4</v>
      </c>
      <c r="G53" s="5" t="n">
        <v>5</v>
      </c>
      <c r="H53" s="24" t="n">
        <v>6.4</v>
      </c>
      <c r="I53" s="5" t="s">
        <v>355</v>
      </c>
      <c r="J53" s="21" t="s">
        <v>75</v>
      </c>
      <c r="K53" s="5" t="s">
        <v>357</v>
      </c>
      <c r="L53" s="5" t="n">
        <v>4</v>
      </c>
      <c r="M53" s="22" t="s">
        <v>80</v>
      </c>
    </row>
    <row r="54" customFormat="false" ht="15" hidden="false" customHeight="false" outlineLevel="0" collapsed="false">
      <c r="A54" s="5" t="s">
        <v>147</v>
      </c>
      <c r="B54" s="5" t="s">
        <v>291</v>
      </c>
      <c r="C54" s="5" t="s">
        <v>292</v>
      </c>
      <c r="D54" s="5" t="n">
        <v>22</v>
      </c>
      <c r="E54" s="26" t="s">
        <v>350</v>
      </c>
      <c r="F54" s="24" t="n">
        <v>9.27</v>
      </c>
      <c r="G54" s="5" t="n">
        <v>7</v>
      </c>
      <c r="H54" s="24" t="n">
        <v>2.27</v>
      </c>
      <c r="I54" s="5"/>
      <c r="J54" s="26" t="s">
        <v>238</v>
      </c>
      <c r="K54" s="5"/>
      <c r="L54" s="5" t="n">
        <v>5</v>
      </c>
      <c r="M54" s="26" t="s">
        <v>238</v>
      </c>
    </row>
    <row r="55" customFormat="false" ht="15" hidden="false" customHeight="false" outlineLevel="0" collapsed="false">
      <c r="A55" s="5" t="s">
        <v>147</v>
      </c>
      <c r="B55" s="5" t="s">
        <v>154</v>
      </c>
      <c r="C55" s="5" t="s">
        <v>155</v>
      </c>
      <c r="D55" s="5" t="n">
        <v>12</v>
      </c>
      <c r="E55" s="26" t="s">
        <v>350</v>
      </c>
      <c r="F55" s="24" t="n">
        <v>8.53</v>
      </c>
      <c r="G55" s="5" t="n">
        <v>13</v>
      </c>
      <c r="H55" s="24" t="n">
        <v>4.47</v>
      </c>
      <c r="I55" s="5"/>
      <c r="J55" s="26" t="s">
        <v>238</v>
      </c>
      <c r="K55" s="5"/>
      <c r="L55" s="5" t="n">
        <v>3</v>
      </c>
      <c r="M55" s="26" t="s">
        <v>238</v>
      </c>
    </row>
    <row r="56" customFormat="false" ht="15" hidden="false" customHeight="false" outlineLevel="0" collapsed="false">
      <c r="A56" s="5" t="s">
        <v>147</v>
      </c>
      <c r="B56" s="5" t="s">
        <v>293</v>
      </c>
      <c r="C56" s="5" t="s">
        <v>294</v>
      </c>
      <c r="D56" s="5" t="n">
        <v>40</v>
      </c>
      <c r="E56" s="26" t="s">
        <v>350</v>
      </c>
      <c r="F56" s="24" t="n">
        <v>7.87</v>
      </c>
      <c r="G56" s="5" t="n">
        <v>12</v>
      </c>
      <c r="H56" s="24" t="n">
        <v>4.13</v>
      </c>
      <c r="I56" s="5"/>
      <c r="J56" s="26" t="s">
        <v>238</v>
      </c>
      <c r="K56" s="5"/>
      <c r="L56" s="5" t="n">
        <v>4</v>
      </c>
      <c r="M56" s="26" t="s">
        <v>238</v>
      </c>
    </row>
    <row r="57" customFormat="false" ht="15" hidden="false" customHeight="false" outlineLevel="0" collapsed="false">
      <c r="A57" s="5" t="s">
        <v>147</v>
      </c>
      <c r="B57" s="5" t="s">
        <v>157</v>
      </c>
      <c r="C57" s="5" t="s">
        <v>158</v>
      </c>
      <c r="D57" s="5" t="n">
        <v>30</v>
      </c>
      <c r="E57" s="26" t="s">
        <v>350</v>
      </c>
      <c r="F57" s="24" t="n">
        <v>11.47</v>
      </c>
      <c r="G57" s="5" t="n">
        <v>8</v>
      </c>
      <c r="H57" s="24" t="n">
        <v>3.47</v>
      </c>
      <c r="I57" s="5"/>
      <c r="J57" s="26" t="s">
        <v>238</v>
      </c>
      <c r="K57" s="5"/>
      <c r="L57" s="5" t="n">
        <v>4</v>
      </c>
      <c r="M57" s="26" t="s">
        <v>238</v>
      </c>
    </row>
    <row r="58" customFormat="false" ht="15" hidden="false" customHeight="false" outlineLevel="0" collapsed="false">
      <c r="A58" s="5" t="s">
        <v>147</v>
      </c>
      <c r="B58" s="5" t="s">
        <v>160</v>
      </c>
      <c r="C58" s="5" t="s">
        <v>161</v>
      </c>
      <c r="D58" s="5" t="n">
        <v>33</v>
      </c>
      <c r="E58" s="26" t="s">
        <v>350</v>
      </c>
      <c r="F58" s="24" t="n">
        <v>10.47</v>
      </c>
      <c r="G58" s="5" t="n">
        <v>14</v>
      </c>
      <c r="H58" s="24" t="n">
        <v>3.53</v>
      </c>
      <c r="I58" s="5"/>
      <c r="J58" s="26" t="s">
        <v>238</v>
      </c>
      <c r="K58" s="5"/>
      <c r="L58" s="5" t="n">
        <v>6</v>
      </c>
      <c r="M58" s="26" t="s">
        <v>238</v>
      </c>
    </row>
    <row r="59" customFormat="false" ht="15" hidden="false" customHeight="false" outlineLevel="0" collapsed="false">
      <c r="A59" s="5" t="s">
        <v>147</v>
      </c>
      <c r="B59" s="5" t="s">
        <v>163</v>
      </c>
      <c r="C59" s="5" t="s">
        <v>164</v>
      </c>
      <c r="D59" s="5" t="n">
        <v>40</v>
      </c>
      <c r="E59" s="26" t="s">
        <v>350</v>
      </c>
      <c r="F59" s="24" t="n">
        <v>9.73</v>
      </c>
      <c r="G59" s="5" t="n">
        <v>16</v>
      </c>
      <c r="H59" s="24" t="n">
        <v>6.27</v>
      </c>
      <c r="I59" s="5"/>
      <c r="J59" s="26" t="s">
        <v>238</v>
      </c>
      <c r="K59" s="5"/>
      <c r="L59" s="5" t="n">
        <v>8</v>
      </c>
      <c r="M59" s="26" t="s">
        <v>238</v>
      </c>
    </row>
    <row r="60" customFormat="false" ht="15" hidden="false" customHeight="false" outlineLevel="0" collapsed="false">
      <c r="A60" s="5" t="s">
        <v>147</v>
      </c>
      <c r="B60" s="5" t="s">
        <v>295</v>
      </c>
      <c r="C60" s="5" t="s">
        <v>296</v>
      </c>
      <c r="D60" s="5" t="n">
        <v>21</v>
      </c>
      <c r="E60" s="26" t="s">
        <v>350</v>
      </c>
      <c r="F60" s="24" t="n">
        <v>9.53</v>
      </c>
      <c r="G60" s="5" t="n">
        <v>13</v>
      </c>
      <c r="H60" s="24" t="n">
        <v>3.47</v>
      </c>
      <c r="I60" s="5"/>
      <c r="J60" s="26" t="s">
        <v>238</v>
      </c>
      <c r="K60" s="5"/>
      <c r="L60" s="5" t="n">
        <v>8</v>
      </c>
      <c r="M60" s="26" t="s">
        <v>238</v>
      </c>
    </row>
    <row r="61" customFormat="false" ht="15" hidden="false" customHeight="false" outlineLevel="0" collapsed="false">
      <c r="A61" s="5" t="s">
        <v>166</v>
      </c>
      <c r="B61" s="5" t="s">
        <v>297</v>
      </c>
      <c r="C61" s="5" t="s">
        <v>298</v>
      </c>
      <c r="D61" s="5" t="n">
        <v>29</v>
      </c>
      <c r="E61" s="26" t="s">
        <v>350</v>
      </c>
      <c r="F61" s="24" t="n">
        <v>7</v>
      </c>
      <c r="G61" s="5" t="n">
        <v>5</v>
      </c>
      <c r="H61" s="24" t="n">
        <v>2</v>
      </c>
      <c r="I61" s="5"/>
      <c r="J61" s="26" t="s">
        <v>238</v>
      </c>
      <c r="K61" s="5"/>
      <c r="L61" s="5" t="n">
        <v>0</v>
      </c>
      <c r="M61" s="26" t="s">
        <v>238</v>
      </c>
    </row>
    <row r="62" customFormat="false" ht="15" hidden="false" customHeight="false" outlineLevel="0" collapsed="false">
      <c r="A62" s="5" t="s">
        <v>166</v>
      </c>
      <c r="B62" s="5" t="s">
        <v>299</v>
      </c>
      <c r="C62" s="5" t="s">
        <v>300</v>
      </c>
      <c r="D62" s="5" t="n">
        <v>14</v>
      </c>
      <c r="E62" s="26" t="s">
        <v>350</v>
      </c>
      <c r="F62" s="24" t="n">
        <v>9.6</v>
      </c>
      <c r="G62" s="5" t="n">
        <v>6</v>
      </c>
      <c r="H62" s="24" t="n">
        <v>3.6</v>
      </c>
      <c r="I62" s="5"/>
      <c r="J62" s="26" t="s">
        <v>238</v>
      </c>
      <c r="K62" s="5"/>
      <c r="L62" s="5" t="n">
        <v>2</v>
      </c>
      <c r="M62" s="26" t="s">
        <v>238</v>
      </c>
    </row>
    <row r="63" customFormat="false" ht="15" hidden="false" customHeight="false" outlineLevel="0" collapsed="false">
      <c r="A63" s="5" t="s">
        <v>166</v>
      </c>
      <c r="B63" s="5" t="s">
        <v>301</v>
      </c>
      <c r="C63" s="5" t="s">
        <v>302</v>
      </c>
      <c r="D63" s="5" t="n">
        <v>40</v>
      </c>
      <c r="E63" s="26" t="s">
        <v>350</v>
      </c>
      <c r="F63" s="24" t="n">
        <v>7.6</v>
      </c>
      <c r="G63" s="5" t="n">
        <v>8</v>
      </c>
      <c r="H63" s="24" t="n">
        <v>0.4</v>
      </c>
      <c r="I63" s="5"/>
      <c r="J63" s="26" t="s">
        <v>238</v>
      </c>
      <c r="K63" s="5"/>
      <c r="L63" s="5" t="n">
        <v>6</v>
      </c>
      <c r="M63" s="26" t="s">
        <v>238</v>
      </c>
    </row>
    <row r="64" customFormat="false" ht="15" hidden="false" customHeight="false" outlineLevel="0" collapsed="false">
      <c r="A64" s="5" t="s">
        <v>166</v>
      </c>
      <c r="B64" s="5" t="s">
        <v>303</v>
      </c>
      <c r="C64" s="5" t="s">
        <v>304</v>
      </c>
      <c r="D64" s="5" t="n">
        <v>30</v>
      </c>
      <c r="E64" s="26" t="s">
        <v>350</v>
      </c>
      <c r="F64" s="24" t="n">
        <v>9.4</v>
      </c>
      <c r="G64" s="5" t="n">
        <v>10</v>
      </c>
      <c r="H64" s="24" t="n">
        <v>0.6</v>
      </c>
      <c r="I64" s="5"/>
      <c r="J64" s="26" t="s">
        <v>238</v>
      </c>
      <c r="K64" s="5"/>
      <c r="L64" s="5" t="n">
        <v>4</v>
      </c>
      <c r="M64" s="26" t="s">
        <v>238</v>
      </c>
    </row>
    <row r="65" customFormat="false" ht="15" hidden="false" customHeight="false" outlineLevel="0" collapsed="false">
      <c r="A65" s="5" t="s">
        <v>166</v>
      </c>
      <c r="B65" s="5" t="s">
        <v>305</v>
      </c>
      <c r="C65" s="5" t="s">
        <v>306</v>
      </c>
      <c r="D65" s="5" t="n">
        <v>26</v>
      </c>
      <c r="E65" s="26" t="s">
        <v>350</v>
      </c>
      <c r="F65" s="24" t="n">
        <v>12.6</v>
      </c>
      <c r="G65" s="5" t="n">
        <v>10</v>
      </c>
      <c r="H65" s="24" t="n">
        <v>2.6</v>
      </c>
      <c r="I65" s="5"/>
      <c r="J65" s="26" t="s">
        <v>238</v>
      </c>
      <c r="K65" s="5"/>
      <c r="L65" s="5" t="n">
        <v>6</v>
      </c>
      <c r="M65" s="26" t="s">
        <v>238</v>
      </c>
    </row>
    <row r="66" customFormat="false" ht="15" hidden="false" customHeight="false" outlineLevel="0" collapsed="false">
      <c r="A66" s="5" t="s">
        <v>166</v>
      </c>
      <c r="B66" s="5" t="s">
        <v>167</v>
      </c>
      <c r="C66" s="5" t="s">
        <v>168</v>
      </c>
      <c r="D66" s="5" t="n">
        <v>37</v>
      </c>
      <c r="E66" s="26" t="s">
        <v>350</v>
      </c>
      <c r="F66" s="24" t="n">
        <v>10.75</v>
      </c>
      <c r="G66" s="5" t="n">
        <v>9</v>
      </c>
      <c r="H66" s="24" t="n">
        <v>1.75</v>
      </c>
      <c r="I66" s="5"/>
      <c r="J66" s="26" t="s">
        <v>238</v>
      </c>
      <c r="K66" s="5"/>
      <c r="L66" s="5" t="n">
        <v>2</v>
      </c>
      <c r="M66" s="26" t="s">
        <v>238</v>
      </c>
    </row>
    <row r="67" customFormat="false" ht="15" hidden="false" customHeight="false" outlineLevel="0" collapsed="false">
      <c r="A67" s="5" t="s">
        <v>166</v>
      </c>
      <c r="B67" s="5" t="s">
        <v>307</v>
      </c>
      <c r="C67" s="5" t="s">
        <v>308</v>
      </c>
      <c r="D67" s="5" t="n">
        <v>33</v>
      </c>
      <c r="E67" s="26" t="s">
        <v>350</v>
      </c>
      <c r="F67" s="24" t="n">
        <v>10.3</v>
      </c>
      <c r="G67" s="5" t="n">
        <v>8</v>
      </c>
      <c r="H67" s="24" t="n">
        <v>2.3</v>
      </c>
      <c r="I67" s="5"/>
      <c r="J67" s="26" t="s">
        <v>238</v>
      </c>
      <c r="K67" s="5"/>
      <c r="L67" s="5" t="n">
        <v>8</v>
      </c>
      <c r="M67" s="26" t="s">
        <v>238</v>
      </c>
    </row>
    <row r="68" customFormat="false" ht="15" hidden="false" customHeight="false" outlineLevel="0" collapsed="false">
      <c r="A68" s="5" t="s">
        <v>170</v>
      </c>
      <c r="B68" s="5" t="s">
        <v>309</v>
      </c>
      <c r="C68" s="5" t="s">
        <v>310</v>
      </c>
      <c r="D68" s="5" t="n">
        <v>71</v>
      </c>
      <c r="E68" s="21" t="s">
        <v>354</v>
      </c>
      <c r="F68" s="24" t="n">
        <v>8.93</v>
      </c>
      <c r="G68" s="5" t="n">
        <v>6</v>
      </c>
      <c r="H68" s="24" t="n">
        <v>2.93</v>
      </c>
      <c r="I68" s="5" t="s">
        <v>355</v>
      </c>
      <c r="J68" s="21" t="s">
        <v>75</v>
      </c>
      <c r="K68" s="5" t="s">
        <v>357</v>
      </c>
      <c r="L68" s="5" t="n">
        <v>3</v>
      </c>
      <c r="M68" s="22" t="s">
        <v>80</v>
      </c>
    </row>
    <row r="69" customFormat="false" ht="15" hidden="false" customHeight="false" outlineLevel="0" collapsed="false">
      <c r="A69" s="5" t="s">
        <v>170</v>
      </c>
      <c r="B69" s="5" t="s">
        <v>311</v>
      </c>
      <c r="C69" s="5" t="s">
        <v>312</v>
      </c>
      <c r="D69" s="5" t="n">
        <v>30</v>
      </c>
      <c r="E69" s="26" t="s">
        <v>350</v>
      </c>
      <c r="F69" s="24" t="n">
        <v>11.25</v>
      </c>
      <c r="G69" s="5" t="n">
        <v>13</v>
      </c>
      <c r="H69" s="24" t="n">
        <v>1.75</v>
      </c>
      <c r="I69" s="5"/>
      <c r="J69" s="26" t="s">
        <v>238</v>
      </c>
      <c r="K69" s="5"/>
      <c r="L69" s="5" t="n">
        <v>5</v>
      </c>
      <c r="M69" s="26" t="s">
        <v>238</v>
      </c>
    </row>
    <row r="70" customFormat="false" ht="15" hidden="false" customHeight="false" outlineLevel="0" collapsed="false">
      <c r="A70" s="5" t="s">
        <v>170</v>
      </c>
      <c r="B70" s="5" t="s">
        <v>171</v>
      </c>
      <c r="C70" s="5" t="s">
        <v>172</v>
      </c>
      <c r="D70" s="5" t="n">
        <v>13</v>
      </c>
      <c r="E70" s="26" t="s">
        <v>350</v>
      </c>
      <c r="F70" s="24" t="n">
        <v>7.75</v>
      </c>
      <c r="G70" s="5" t="n">
        <v>8</v>
      </c>
      <c r="H70" s="24" t="n">
        <v>0.25</v>
      </c>
      <c r="I70" s="5"/>
      <c r="J70" s="26" t="s">
        <v>238</v>
      </c>
      <c r="K70" s="5"/>
      <c r="L70" s="5" t="n">
        <v>3</v>
      </c>
      <c r="M70" s="26" t="s">
        <v>238</v>
      </c>
    </row>
    <row r="71" customFormat="false" ht="15" hidden="false" customHeight="false" outlineLevel="0" collapsed="false">
      <c r="A71" s="5" t="s">
        <v>170</v>
      </c>
      <c r="B71" s="5" t="s">
        <v>174</v>
      </c>
      <c r="C71" s="5" t="s">
        <v>175</v>
      </c>
      <c r="D71" s="5" t="n">
        <v>91</v>
      </c>
      <c r="E71" s="21" t="s">
        <v>354</v>
      </c>
      <c r="F71" s="24" t="n">
        <v>12.75</v>
      </c>
      <c r="G71" s="5" t="n">
        <v>10</v>
      </c>
      <c r="H71" s="24" t="n">
        <v>2.75</v>
      </c>
      <c r="I71" s="5" t="s">
        <v>355</v>
      </c>
      <c r="J71" s="22" t="s">
        <v>80</v>
      </c>
      <c r="K71" s="5" t="s">
        <v>356</v>
      </c>
      <c r="L71" s="5" t="n">
        <v>5</v>
      </c>
      <c r="M71" s="22" t="s">
        <v>80</v>
      </c>
    </row>
    <row r="72" customFormat="false" ht="15" hidden="false" customHeight="false" outlineLevel="0" collapsed="false">
      <c r="A72" s="5" t="s">
        <v>170</v>
      </c>
      <c r="B72" s="5" t="s">
        <v>313</v>
      </c>
      <c r="C72" s="5" t="s">
        <v>314</v>
      </c>
      <c r="D72" s="5" t="n">
        <v>23</v>
      </c>
      <c r="E72" s="26" t="s">
        <v>350</v>
      </c>
      <c r="F72" s="24" t="n">
        <v>9.7</v>
      </c>
      <c r="G72" s="5" t="n">
        <v>8</v>
      </c>
      <c r="H72" s="24" t="n">
        <v>1.7</v>
      </c>
      <c r="I72" s="5"/>
      <c r="J72" s="26" t="s">
        <v>238</v>
      </c>
      <c r="K72" s="5"/>
      <c r="L72" s="5" t="n">
        <v>5</v>
      </c>
      <c r="M72" s="26" t="s">
        <v>238</v>
      </c>
    </row>
    <row r="73" customFormat="false" ht="15" hidden="false" customHeight="false" outlineLevel="0" collapsed="false">
      <c r="A73" s="5" t="s">
        <v>170</v>
      </c>
      <c r="B73" s="5" t="s">
        <v>315</v>
      </c>
      <c r="C73" s="5" t="s">
        <v>306</v>
      </c>
      <c r="D73" s="5" t="n">
        <v>37</v>
      </c>
      <c r="E73" s="26" t="s">
        <v>350</v>
      </c>
      <c r="F73" s="24" t="n">
        <v>9.75</v>
      </c>
      <c r="G73" s="5" t="n">
        <v>9</v>
      </c>
      <c r="H73" s="24" t="n">
        <v>0.75</v>
      </c>
      <c r="I73" s="5"/>
      <c r="J73" s="26" t="s">
        <v>238</v>
      </c>
      <c r="K73" s="5"/>
      <c r="L73" s="5" t="n">
        <v>5</v>
      </c>
      <c r="M73" s="26" t="s">
        <v>238</v>
      </c>
    </row>
    <row r="74" customFormat="false" ht="15" hidden="false" customHeight="false" outlineLevel="0" collapsed="false">
      <c r="A74" s="5" t="s">
        <v>170</v>
      </c>
      <c r="B74" s="5" t="s">
        <v>177</v>
      </c>
      <c r="C74" s="5" t="s">
        <v>178</v>
      </c>
      <c r="D74" s="5" t="n">
        <v>68</v>
      </c>
      <c r="E74" s="21" t="s">
        <v>354</v>
      </c>
      <c r="F74" s="24" t="n">
        <v>8.35</v>
      </c>
      <c r="G74" s="5" t="n">
        <v>11</v>
      </c>
      <c r="H74" s="24" t="n">
        <v>2.65</v>
      </c>
      <c r="I74" s="5" t="s">
        <v>355</v>
      </c>
      <c r="J74" s="22" t="s">
        <v>80</v>
      </c>
      <c r="K74" s="5" t="s">
        <v>360</v>
      </c>
      <c r="L74" s="5" t="n">
        <v>5</v>
      </c>
      <c r="M74" s="22" t="s">
        <v>80</v>
      </c>
    </row>
    <row r="75" customFormat="false" ht="15" hidden="false" customHeight="false" outlineLevel="0" collapsed="false">
      <c r="A75" s="5" t="s">
        <v>170</v>
      </c>
      <c r="B75" s="5" t="s">
        <v>316</v>
      </c>
      <c r="C75" s="5" t="s">
        <v>317</v>
      </c>
      <c r="D75" s="5" t="n">
        <v>29</v>
      </c>
      <c r="E75" s="26" t="s">
        <v>350</v>
      </c>
      <c r="F75" s="24" t="n">
        <v>6.47</v>
      </c>
      <c r="G75" s="5" t="n">
        <v>11</v>
      </c>
      <c r="H75" s="24" t="n">
        <v>4.53</v>
      </c>
      <c r="I75" s="5"/>
      <c r="J75" s="26" t="s">
        <v>238</v>
      </c>
      <c r="K75" s="5"/>
      <c r="L75" s="5" t="n">
        <v>6</v>
      </c>
      <c r="M75" s="26" t="s">
        <v>238</v>
      </c>
    </row>
    <row r="76" customFormat="false" ht="15" hidden="false" customHeight="false" outlineLevel="0" collapsed="false">
      <c r="A76" s="5" t="s">
        <v>180</v>
      </c>
      <c r="B76" s="5" t="s">
        <v>318</v>
      </c>
      <c r="C76" s="5" t="s">
        <v>319</v>
      </c>
      <c r="D76" s="5" t="n">
        <v>29</v>
      </c>
      <c r="E76" s="26" t="s">
        <v>350</v>
      </c>
      <c r="F76" s="24" t="n">
        <v>8.9</v>
      </c>
      <c r="G76" s="5" t="n">
        <v>8</v>
      </c>
      <c r="H76" s="24" t="n">
        <v>0.9</v>
      </c>
      <c r="I76" s="5"/>
      <c r="J76" s="26" t="s">
        <v>238</v>
      </c>
      <c r="K76" s="5"/>
      <c r="L76" s="5" t="n">
        <v>2</v>
      </c>
      <c r="M76" s="26" t="s">
        <v>238</v>
      </c>
    </row>
    <row r="77" customFormat="false" ht="15" hidden="false" customHeight="false" outlineLevel="0" collapsed="false">
      <c r="A77" s="5" t="s">
        <v>180</v>
      </c>
      <c r="B77" s="5" t="s">
        <v>320</v>
      </c>
      <c r="C77" s="5" t="s">
        <v>321</v>
      </c>
      <c r="D77" s="5" t="n">
        <v>39</v>
      </c>
      <c r="E77" s="26" t="s">
        <v>350</v>
      </c>
      <c r="F77" s="24" t="n">
        <v>9.6</v>
      </c>
      <c r="G77" s="5" t="n">
        <v>10</v>
      </c>
      <c r="H77" s="24" t="n">
        <v>0.4</v>
      </c>
      <c r="I77" s="5"/>
      <c r="J77" s="26" t="s">
        <v>238</v>
      </c>
      <c r="K77" s="5"/>
      <c r="L77" s="5" t="n">
        <v>5</v>
      </c>
      <c r="M77" s="26" t="s">
        <v>238</v>
      </c>
    </row>
    <row r="78" customFormat="false" ht="15" hidden="false" customHeight="false" outlineLevel="0" collapsed="false">
      <c r="A78" s="5" t="s">
        <v>180</v>
      </c>
      <c r="B78" s="5" t="s">
        <v>181</v>
      </c>
      <c r="C78" s="5" t="s">
        <v>182</v>
      </c>
      <c r="D78" s="5" t="n">
        <v>55</v>
      </c>
      <c r="E78" s="27" t="s">
        <v>351</v>
      </c>
      <c r="F78" s="24" t="n">
        <v>9.23</v>
      </c>
      <c r="G78" s="5" t="n">
        <v>8</v>
      </c>
      <c r="H78" s="24" t="n">
        <v>1.23</v>
      </c>
      <c r="I78" s="5" t="s">
        <v>352</v>
      </c>
      <c r="J78" s="21" t="s">
        <v>75</v>
      </c>
      <c r="K78" s="5" t="s">
        <v>358</v>
      </c>
      <c r="L78" s="5" t="n">
        <v>3</v>
      </c>
      <c r="M78" s="22" t="s">
        <v>80</v>
      </c>
    </row>
    <row r="79" customFormat="false" ht="15" hidden="false" customHeight="false" outlineLevel="0" collapsed="false">
      <c r="A79" s="5" t="s">
        <v>180</v>
      </c>
      <c r="B79" s="5" t="s">
        <v>322</v>
      </c>
      <c r="C79" s="5" t="s">
        <v>323</v>
      </c>
      <c r="D79" s="5" t="n">
        <v>71</v>
      </c>
      <c r="E79" s="21" t="s">
        <v>354</v>
      </c>
      <c r="F79" s="24" t="n">
        <v>10.83</v>
      </c>
      <c r="G79" s="5" t="n">
        <v>10</v>
      </c>
      <c r="H79" s="24" t="n">
        <v>0.83</v>
      </c>
      <c r="I79" s="5" t="s">
        <v>355</v>
      </c>
      <c r="J79" s="22" t="s">
        <v>80</v>
      </c>
      <c r="K79" s="5" t="s">
        <v>361</v>
      </c>
      <c r="L79" s="5" t="n">
        <v>5</v>
      </c>
      <c r="M79" s="22" t="s">
        <v>80</v>
      </c>
    </row>
    <row r="80" customFormat="false" ht="15" hidden="false" customHeight="false" outlineLevel="0" collapsed="false">
      <c r="A80" s="5" t="s">
        <v>180</v>
      </c>
      <c r="B80" s="5" t="s">
        <v>183</v>
      </c>
      <c r="C80" s="5" t="s">
        <v>184</v>
      </c>
      <c r="D80" s="5" t="n">
        <v>73</v>
      </c>
      <c r="E80" s="21" t="s">
        <v>354</v>
      </c>
      <c r="F80" s="24" t="n">
        <v>11.83</v>
      </c>
      <c r="G80" s="5" t="n">
        <v>16</v>
      </c>
      <c r="H80" s="24" t="n">
        <v>4.17</v>
      </c>
      <c r="I80" s="5" t="s">
        <v>355</v>
      </c>
      <c r="J80" s="21" t="s">
        <v>75</v>
      </c>
      <c r="K80" s="5" t="s">
        <v>353</v>
      </c>
      <c r="L80" s="5" t="n">
        <v>6</v>
      </c>
      <c r="M80" s="21" t="s">
        <v>75</v>
      </c>
    </row>
    <row r="81" customFormat="false" ht="15" hidden="false" customHeight="false" outlineLevel="0" collapsed="false">
      <c r="A81" s="5" t="s">
        <v>180</v>
      </c>
      <c r="B81" s="5" t="s">
        <v>186</v>
      </c>
      <c r="C81" s="5" t="s">
        <v>187</v>
      </c>
      <c r="D81" s="5" t="n">
        <v>64</v>
      </c>
      <c r="E81" s="27" t="s">
        <v>351</v>
      </c>
      <c r="F81" s="24" t="n">
        <v>9.9</v>
      </c>
      <c r="G81" s="5" t="n">
        <v>4</v>
      </c>
      <c r="H81" s="24" t="n">
        <v>5.9</v>
      </c>
      <c r="I81" s="5" t="s">
        <v>352</v>
      </c>
      <c r="J81" s="22" t="s">
        <v>80</v>
      </c>
      <c r="K81" s="5" t="s">
        <v>353</v>
      </c>
      <c r="L81" s="5" t="n">
        <v>3</v>
      </c>
      <c r="M81" s="22" t="s">
        <v>80</v>
      </c>
    </row>
    <row r="82" customFormat="false" ht="15" hidden="false" customHeight="false" outlineLevel="0" collapsed="false">
      <c r="A82" s="5" t="s">
        <v>180</v>
      </c>
      <c r="B82" s="5" t="s">
        <v>324</v>
      </c>
      <c r="C82" s="5" t="s">
        <v>325</v>
      </c>
      <c r="D82" s="5" t="n">
        <v>30</v>
      </c>
      <c r="E82" s="26" t="s">
        <v>350</v>
      </c>
      <c r="F82" s="24" t="n">
        <v>8.8</v>
      </c>
      <c r="G82" s="5" t="n">
        <v>11</v>
      </c>
      <c r="H82" s="24" t="n">
        <v>2.2</v>
      </c>
      <c r="I82" s="5"/>
      <c r="J82" s="26" t="s">
        <v>238</v>
      </c>
      <c r="K82" s="5"/>
      <c r="L82" s="5" t="n">
        <v>3</v>
      </c>
      <c r="M82" s="26" t="s">
        <v>238</v>
      </c>
    </row>
    <row r="83" customFormat="false" ht="15" hidden="false" customHeight="false" outlineLevel="0" collapsed="false">
      <c r="A83" s="5" t="s">
        <v>180</v>
      </c>
      <c r="B83" s="5" t="s">
        <v>326</v>
      </c>
      <c r="C83" s="5" t="s">
        <v>327</v>
      </c>
      <c r="D83" s="5" t="n">
        <v>49</v>
      </c>
      <c r="E83" s="26" t="s">
        <v>350</v>
      </c>
      <c r="F83" s="24" t="n">
        <v>7</v>
      </c>
      <c r="G83" s="5" t="n">
        <v>15</v>
      </c>
      <c r="H83" s="24" t="n">
        <v>8</v>
      </c>
      <c r="I83" s="5"/>
      <c r="J83" s="26" t="s">
        <v>238</v>
      </c>
      <c r="K83" s="5"/>
      <c r="L83" s="5" t="n">
        <v>8</v>
      </c>
      <c r="M83" s="26" t="s">
        <v>238</v>
      </c>
    </row>
    <row r="84" customFormat="false" ht="15" hidden="false" customHeight="false" outlineLevel="0" collapsed="false">
      <c r="A84" s="5" t="s">
        <v>189</v>
      </c>
      <c r="B84" s="5" t="s">
        <v>190</v>
      </c>
      <c r="C84" s="5" t="s">
        <v>191</v>
      </c>
      <c r="D84" s="5" t="n">
        <v>34</v>
      </c>
      <c r="E84" s="26" t="s">
        <v>350</v>
      </c>
      <c r="F84" s="24" t="n">
        <v>12</v>
      </c>
      <c r="G84" s="5" t="n">
        <v>8</v>
      </c>
      <c r="H84" s="24" t="n">
        <v>4</v>
      </c>
      <c r="I84" s="5"/>
      <c r="J84" s="26" t="s">
        <v>238</v>
      </c>
      <c r="K84" s="5"/>
      <c r="L84" s="5" t="n">
        <v>4</v>
      </c>
      <c r="M84" s="26" t="s">
        <v>238</v>
      </c>
    </row>
    <row r="85" customFormat="false" ht="15" hidden="false" customHeight="false" outlineLevel="0" collapsed="false">
      <c r="A85" s="5" t="s">
        <v>189</v>
      </c>
      <c r="B85" s="5" t="s">
        <v>328</v>
      </c>
      <c r="C85" s="5" t="s">
        <v>329</v>
      </c>
      <c r="D85" s="5" t="n">
        <v>10</v>
      </c>
      <c r="E85" s="26" t="s">
        <v>350</v>
      </c>
      <c r="F85" s="24" t="n">
        <v>5.67</v>
      </c>
      <c r="G85" s="5" t="n">
        <v>4</v>
      </c>
      <c r="H85" s="24" t="n">
        <v>1.67</v>
      </c>
      <c r="I85" s="5"/>
      <c r="J85" s="26" t="s">
        <v>238</v>
      </c>
      <c r="K85" s="5"/>
      <c r="L85" s="5" t="n">
        <v>0</v>
      </c>
      <c r="M85" s="26" t="s">
        <v>238</v>
      </c>
    </row>
    <row r="86" customFormat="false" ht="15" hidden="false" customHeight="false" outlineLevel="0" collapsed="false">
      <c r="A86" s="5" t="s">
        <v>189</v>
      </c>
      <c r="B86" s="5" t="s">
        <v>192</v>
      </c>
      <c r="C86" s="5" t="s">
        <v>193</v>
      </c>
      <c r="D86" s="5" t="n">
        <v>69</v>
      </c>
      <c r="E86" s="21" t="s">
        <v>354</v>
      </c>
      <c r="F86" s="24" t="n">
        <v>7.5</v>
      </c>
      <c r="G86" s="5" t="n">
        <v>6</v>
      </c>
      <c r="H86" s="24" t="n">
        <v>1.5</v>
      </c>
      <c r="I86" s="5" t="s">
        <v>355</v>
      </c>
      <c r="J86" s="22" t="s">
        <v>80</v>
      </c>
      <c r="K86" s="5" t="s">
        <v>362</v>
      </c>
      <c r="L86" s="5" t="n">
        <v>1</v>
      </c>
      <c r="M86" s="22" t="s">
        <v>80</v>
      </c>
    </row>
    <row r="87" customFormat="false" ht="15" hidden="false" customHeight="false" outlineLevel="0" collapsed="false">
      <c r="A87" s="5" t="s">
        <v>189</v>
      </c>
      <c r="B87" s="5" t="s">
        <v>330</v>
      </c>
      <c r="C87" s="5" t="s">
        <v>331</v>
      </c>
      <c r="D87" s="5" t="n">
        <v>41</v>
      </c>
      <c r="E87" s="26" t="s">
        <v>350</v>
      </c>
      <c r="F87" s="24" t="n">
        <v>12.5</v>
      </c>
      <c r="G87" s="5" t="n">
        <v>6</v>
      </c>
      <c r="H87" s="24" t="n">
        <v>6.5</v>
      </c>
      <c r="I87" s="5"/>
      <c r="J87" s="26" t="s">
        <v>238</v>
      </c>
      <c r="K87" s="5"/>
      <c r="L87" s="5" t="n">
        <v>4</v>
      </c>
      <c r="M87" s="26" t="s">
        <v>238</v>
      </c>
    </row>
    <row r="88" customFormat="false" ht="15" hidden="false" customHeight="false" outlineLevel="0" collapsed="false">
      <c r="A88" s="5" t="s">
        <v>189</v>
      </c>
      <c r="B88" s="5" t="s">
        <v>332</v>
      </c>
      <c r="C88" s="5" t="s">
        <v>333</v>
      </c>
      <c r="D88" s="5" t="n">
        <v>60</v>
      </c>
      <c r="E88" s="27" t="s">
        <v>351</v>
      </c>
      <c r="F88" s="24" t="n">
        <v>8.75</v>
      </c>
      <c r="G88" s="5" t="n">
        <v>15</v>
      </c>
      <c r="H88" s="24" t="n">
        <v>6.25</v>
      </c>
      <c r="I88" s="5" t="s">
        <v>352</v>
      </c>
      <c r="J88" s="22" t="s">
        <v>80</v>
      </c>
      <c r="K88" s="5" t="s">
        <v>363</v>
      </c>
      <c r="L88" s="5" t="n">
        <v>8</v>
      </c>
      <c r="M88" s="21" t="s">
        <v>75</v>
      </c>
    </row>
    <row r="89" customFormat="false" ht="15" hidden="false" customHeight="false" outlineLevel="0" collapsed="false">
      <c r="A89" s="5" t="s">
        <v>189</v>
      </c>
      <c r="B89" s="5" t="s">
        <v>194</v>
      </c>
      <c r="C89" s="5" t="s">
        <v>195</v>
      </c>
      <c r="D89" s="5" t="n">
        <v>22</v>
      </c>
      <c r="E89" s="26" t="s">
        <v>350</v>
      </c>
      <c r="F89" s="24" t="n">
        <v>13.6</v>
      </c>
      <c r="G89" s="5" t="n">
        <v>11</v>
      </c>
      <c r="H89" s="24" t="n">
        <v>2.6</v>
      </c>
      <c r="I89" s="5"/>
      <c r="J89" s="26" t="s">
        <v>238</v>
      </c>
      <c r="K89" s="5"/>
      <c r="L89" s="5" t="n">
        <v>5</v>
      </c>
      <c r="M89" s="26" t="s">
        <v>238</v>
      </c>
    </row>
    <row r="90" customFormat="false" ht="15" hidden="false" customHeight="false" outlineLevel="0" collapsed="false">
      <c r="A90" s="5" t="s">
        <v>189</v>
      </c>
      <c r="B90" s="5" t="s">
        <v>197</v>
      </c>
      <c r="C90" s="5" t="s">
        <v>198</v>
      </c>
      <c r="D90" s="5" t="n">
        <v>93</v>
      </c>
      <c r="E90" s="21" t="s">
        <v>354</v>
      </c>
      <c r="F90" s="24" t="n">
        <v>13.17</v>
      </c>
      <c r="G90" s="5" t="n">
        <v>8</v>
      </c>
      <c r="H90" s="24" t="n">
        <v>5.17</v>
      </c>
      <c r="I90" s="5" t="s">
        <v>355</v>
      </c>
      <c r="J90" s="21" t="s">
        <v>75</v>
      </c>
      <c r="K90" s="5" t="s">
        <v>356</v>
      </c>
      <c r="L90" s="5" t="n">
        <v>4</v>
      </c>
      <c r="M90" s="22" t="s">
        <v>80</v>
      </c>
    </row>
    <row r="91" customFormat="false" ht="15" hidden="false" customHeight="false" outlineLevel="0" collapsed="false">
      <c r="A91" s="5" t="s">
        <v>189</v>
      </c>
      <c r="B91" s="5" t="s">
        <v>334</v>
      </c>
      <c r="C91" s="5" t="s">
        <v>335</v>
      </c>
      <c r="D91" s="5" t="n">
        <v>52</v>
      </c>
      <c r="E91" s="27" t="s">
        <v>351</v>
      </c>
      <c r="F91" s="24" t="n">
        <v>11</v>
      </c>
      <c r="G91" s="5" t="n">
        <v>7</v>
      </c>
      <c r="H91" s="24" t="n">
        <v>4</v>
      </c>
      <c r="I91" s="5" t="s">
        <v>352</v>
      </c>
      <c r="J91" s="21" t="s">
        <v>75</v>
      </c>
      <c r="K91" s="5" t="s">
        <v>356</v>
      </c>
      <c r="L91" s="5" t="n">
        <v>5</v>
      </c>
      <c r="M91" s="22" t="s">
        <v>80</v>
      </c>
    </row>
    <row r="92" customFormat="false" ht="15" hidden="false" customHeight="false" outlineLevel="0" collapsed="false">
      <c r="A92" s="5" t="s">
        <v>189</v>
      </c>
      <c r="B92" s="5" t="s">
        <v>337</v>
      </c>
      <c r="C92" s="5" t="s">
        <v>338</v>
      </c>
      <c r="D92" s="5" t="n">
        <v>8</v>
      </c>
      <c r="E92" s="26" t="s">
        <v>350</v>
      </c>
      <c r="F92" s="24" t="n">
        <v>10.33</v>
      </c>
      <c r="G92" s="5" t="n">
        <v>13</v>
      </c>
      <c r="H92" s="24" t="n">
        <v>2.67</v>
      </c>
      <c r="I92" s="5"/>
      <c r="J92" s="26" t="s">
        <v>238</v>
      </c>
      <c r="K92" s="5"/>
      <c r="L92" s="5" t="n">
        <v>5</v>
      </c>
      <c r="M92" s="26" t="s">
        <v>238</v>
      </c>
    </row>
    <row r="93" customFormat="false" ht="15" hidden="false" customHeight="false" outlineLevel="0" collapsed="false">
      <c r="A93" s="5" t="s">
        <v>189</v>
      </c>
      <c r="B93" s="5" t="s">
        <v>199</v>
      </c>
      <c r="C93" s="5" t="s">
        <v>200</v>
      </c>
      <c r="D93" s="5" t="n">
        <v>61</v>
      </c>
      <c r="E93" s="27" t="s">
        <v>351</v>
      </c>
      <c r="F93" s="24" t="n">
        <v>6.67</v>
      </c>
      <c r="G93" s="5" t="n">
        <v>10</v>
      </c>
      <c r="H93" s="24" t="n">
        <v>3.33</v>
      </c>
      <c r="I93" s="5" t="s">
        <v>352</v>
      </c>
      <c r="J93" s="21" t="s">
        <v>75</v>
      </c>
      <c r="K93" s="5" t="s">
        <v>363</v>
      </c>
      <c r="L93" s="5" t="n">
        <v>4</v>
      </c>
      <c r="M93" s="21" t="s">
        <v>75</v>
      </c>
    </row>
    <row r="94" customFormat="false" ht="15" hidden="false" customHeight="false" outlineLevel="0" collapsed="false">
      <c r="A94" s="5" t="s">
        <v>189</v>
      </c>
      <c r="B94" s="5" t="s">
        <v>202</v>
      </c>
      <c r="C94" s="5" t="s">
        <v>203</v>
      </c>
      <c r="D94" s="5" t="n">
        <v>59</v>
      </c>
      <c r="E94" s="27" t="s">
        <v>351</v>
      </c>
      <c r="F94" s="24" t="n">
        <v>10.25</v>
      </c>
      <c r="G94" s="5" t="n">
        <v>12</v>
      </c>
      <c r="H94" s="24" t="n">
        <v>1.75</v>
      </c>
      <c r="I94" s="5" t="s">
        <v>352</v>
      </c>
      <c r="J94" s="22" t="s">
        <v>80</v>
      </c>
      <c r="K94" s="5" t="s">
        <v>357</v>
      </c>
      <c r="L94" s="5" t="n">
        <v>6</v>
      </c>
      <c r="M94" s="21" t="s">
        <v>75</v>
      </c>
    </row>
    <row r="95" customFormat="false" ht="15" hidden="false" customHeight="false" outlineLevel="0" collapsed="false">
      <c r="A95" s="5" t="s">
        <v>189</v>
      </c>
      <c r="B95" s="5" t="s">
        <v>205</v>
      </c>
      <c r="C95" s="5" t="s">
        <v>206</v>
      </c>
      <c r="D95" s="5" t="n">
        <v>29</v>
      </c>
      <c r="E95" s="26" t="s">
        <v>350</v>
      </c>
      <c r="F95" s="24" t="n">
        <v>11.5</v>
      </c>
      <c r="G95" s="5" t="n">
        <v>11</v>
      </c>
      <c r="H95" s="24" t="n">
        <v>0.5</v>
      </c>
      <c r="I95" s="5"/>
      <c r="J95" s="26" t="s">
        <v>238</v>
      </c>
      <c r="K95" s="5"/>
      <c r="L95" s="5" t="n">
        <v>5</v>
      </c>
      <c r="M95" s="26" t="s">
        <v>238</v>
      </c>
    </row>
    <row r="96" customFormat="false" ht="15" hidden="false" customHeight="false" outlineLevel="0" collapsed="false">
      <c r="A96" s="5" t="s">
        <v>189</v>
      </c>
      <c r="B96" s="5" t="s">
        <v>207</v>
      </c>
      <c r="C96" s="5" t="s">
        <v>208</v>
      </c>
      <c r="D96" s="5" t="n">
        <v>80</v>
      </c>
      <c r="E96" s="21" t="s">
        <v>354</v>
      </c>
      <c r="F96" s="24" t="n">
        <v>9.92</v>
      </c>
      <c r="G96" s="5" t="n">
        <v>13</v>
      </c>
      <c r="H96" s="24" t="n">
        <v>3.08</v>
      </c>
      <c r="I96" s="5" t="s">
        <v>355</v>
      </c>
      <c r="J96" s="21" t="s">
        <v>75</v>
      </c>
      <c r="K96" s="5" t="s">
        <v>359</v>
      </c>
      <c r="L96" s="5" t="n">
        <v>7</v>
      </c>
      <c r="M96" s="21" t="s">
        <v>75</v>
      </c>
    </row>
    <row r="97" customFormat="false" ht="15" hidden="false" customHeight="false" outlineLevel="0" collapsed="false">
      <c r="A97" s="5" t="s">
        <v>189</v>
      </c>
      <c r="B97" s="5" t="s">
        <v>210</v>
      </c>
      <c r="C97" s="5" t="s">
        <v>211</v>
      </c>
      <c r="D97" s="5" t="n">
        <v>40</v>
      </c>
      <c r="E97" s="26" t="s">
        <v>350</v>
      </c>
      <c r="F97" s="24" t="n">
        <v>12.67</v>
      </c>
      <c r="G97" s="5" t="n">
        <v>15</v>
      </c>
      <c r="H97" s="24" t="n">
        <v>2.33</v>
      </c>
      <c r="I97" s="5"/>
      <c r="J97" s="26" t="s">
        <v>238</v>
      </c>
      <c r="K97" s="5"/>
      <c r="L97" s="5" t="n">
        <v>6</v>
      </c>
      <c r="M97" s="26" t="s">
        <v>238</v>
      </c>
    </row>
    <row r="98" customFormat="false" ht="15" hidden="false" customHeight="false" outlineLevel="0" collapsed="false">
      <c r="A98" s="5" t="s">
        <v>189</v>
      </c>
      <c r="B98" s="5" t="s">
        <v>213</v>
      </c>
      <c r="C98" s="5" t="s">
        <v>214</v>
      </c>
      <c r="D98" s="5" t="n">
        <v>63</v>
      </c>
      <c r="E98" s="27" t="s">
        <v>351</v>
      </c>
      <c r="F98" s="24" t="n">
        <v>10.14</v>
      </c>
      <c r="G98" s="5" t="n">
        <v>11</v>
      </c>
      <c r="H98" s="24" t="n">
        <v>0.859999999999999</v>
      </c>
      <c r="I98" s="5" t="s">
        <v>352</v>
      </c>
      <c r="J98" s="21" t="s">
        <v>75</v>
      </c>
      <c r="K98" s="5" t="s">
        <v>360</v>
      </c>
      <c r="L98" s="5" t="n">
        <v>6</v>
      </c>
      <c r="M98" s="21" t="s">
        <v>75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0" min="20" style="0" width="21"/>
    <col collapsed="false" customWidth="true" hidden="false" outlineLevel="0" max="22" min="21" style="0" width="14"/>
    <col collapsed="false" customWidth="true" hidden="false" outlineLevel="0" max="23" min="23" style="0" width="15"/>
    <col collapsed="false" customWidth="true" hidden="false" outlineLevel="0" max="24" min="24" style="0" width="22"/>
    <col collapsed="false" customWidth="true" hidden="false" outlineLevel="0" max="25" min="25" style="0" width="21"/>
    <col collapsed="false" customWidth="true" hidden="false" outlineLevel="0" max="27" min="26" style="0" width="22"/>
    <col collapsed="false" customWidth="true" hidden="false" outlineLevel="0" max="28" min="28" style="0" width="17"/>
    <col collapsed="false" customWidth="true" hidden="false" outlineLevel="0" max="29" min="29" style="0" width="18"/>
    <col collapsed="false" customWidth="true" hidden="false" outlineLevel="0" max="30" min="30" style="0" width="17"/>
    <col collapsed="false" customWidth="true" hidden="false" outlineLevel="0" max="31" min="31" style="0" width="18"/>
    <col collapsed="false" customWidth="true" hidden="false" outlineLevel="0" max="32" min="32" style="0" width="24"/>
    <col collapsed="false" customWidth="true" hidden="false" outlineLevel="0" max="33" min="33" style="0" width="23"/>
    <col collapsed="false" customWidth="true" hidden="false" outlineLevel="0" max="34" min="34" style="0" width="10"/>
    <col collapsed="false" customWidth="true" hidden="false" outlineLevel="0" max="35" min="35" style="0" width="20"/>
    <col collapsed="false" customWidth="true" hidden="false" outlineLevel="0" max="37" min="36" style="0" width="21"/>
    <col collapsed="false" customWidth="true" hidden="false" outlineLevel="0" max="39" min="38" style="0" width="14"/>
    <col collapsed="false" customWidth="true" hidden="false" outlineLevel="0" max="40" min="40" style="0" width="25"/>
    <col collapsed="false" customWidth="true" hidden="false" outlineLevel="0" max="41" min="41" style="0" width="21"/>
  </cols>
  <sheetData>
    <row r="1" customFormat="false" ht="17.35" hidden="false" customHeight="false" outlineLevel="0" collapsed="false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customFormat="false" ht="52.2" hidden="false" customHeight="false" outlineLevel="0" collapsed="false">
      <c r="A3" s="4" t="s">
        <v>365</v>
      </c>
      <c r="B3" s="4" t="s">
        <v>366</v>
      </c>
      <c r="C3" s="4" t="s">
        <v>367</v>
      </c>
      <c r="D3" s="4" t="s">
        <v>368</v>
      </c>
      <c r="E3" s="4" t="s">
        <v>369</v>
      </c>
      <c r="F3" s="4" t="s">
        <v>370</v>
      </c>
      <c r="G3" s="4" t="s">
        <v>371</v>
      </c>
      <c r="H3" s="4" t="s">
        <v>372</v>
      </c>
      <c r="I3" s="4" t="s">
        <v>373</v>
      </c>
      <c r="J3" s="4" t="s">
        <v>374</v>
      </c>
      <c r="K3" s="4" t="s">
        <v>375</v>
      </c>
      <c r="L3" s="4" t="s">
        <v>376</v>
      </c>
      <c r="M3" s="4" t="s">
        <v>377</v>
      </c>
      <c r="N3" s="4" t="s">
        <v>378</v>
      </c>
      <c r="O3" s="4" t="s">
        <v>379</v>
      </c>
      <c r="P3" s="4" t="s">
        <v>380</v>
      </c>
      <c r="Q3" s="4" t="s">
        <v>381</v>
      </c>
      <c r="R3" s="4" t="s">
        <v>382</v>
      </c>
      <c r="S3" s="4" t="s">
        <v>383</v>
      </c>
      <c r="T3" s="4" t="s">
        <v>384</v>
      </c>
      <c r="U3" s="4" t="s">
        <v>385</v>
      </c>
      <c r="V3" s="4" t="s">
        <v>386</v>
      </c>
      <c r="W3" s="4" t="s">
        <v>387</v>
      </c>
      <c r="X3" s="4" t="s">
        <v>388</v>
      </c>
      <c r="Y3" s="4" t="s">
        <v>389</v>
      </c>
      <c r="Z3" s="4" t="s">
        <v>390</v>
      </c>
      <c r="AA3" s="4" t="s">
        <v>391</v>
      </c>
      <c r="AB3" s="4" t="s">
        <v>392</v>
      </c>
      <c r="AC3" s="4" t="s">
        <v>393</v>
      </c>
      <c r="AD3" s="4" t="s">
        <v>394</v>
      </c>
      <c r="AE3" s="4" t="s">
        <v>395</v>
      </c>
      <c r="AF3" s="4" t="s">
        <v>396</v>
      </c>
      <c r="AG3" s="4" t="s">
        <v>397</v>
      </c>
      <c r="AH3" s="4" t="s">
        <v>398</v>
      </c>
      <c r="AI3" s="4" t="s">
        <v>399</v>
      </c>
      <c r="AJ3" s="4" t="s">
        <v>400</v>
      </c>
      <c r="AK3" s="4" t="s">
        <v>401</v>
      </c>
      <c r="AL3" s="4" t="s">
        <v>402</v>
      </c>
      <c r="AM3" s="4" t="s">
        <v>403</v>
      </c>
      <c r="AN3" s="4" t="s">
        <v>404</v>
      </c>
      <c r="AO3" s="4" t="s">
        <v>405</v>
      </c>
    </row>
    <row r="4" customFormat="false" ht="15" hidden="false" customHeight="false" outlineLevel="0" collapsed="false">
      <c r="A4" s="0" t="s">
        <v>71</v>
      </c>
      <c r="B4" s="0" t="s">
        <v>231</v>
      </c>
      <c r="C4" s="0" t="s">
        <v>232</v>
      </c>
      <c r="D4" s="0" t="s">
        <v>406</v>
      </c>
      <c r="E4" s="0" t="s">
        <v>407</v>
      </c>
      <c r="F4" s="0" t="s">
        <v>408</v>
      </c>
      <c r="G4" s="0" t="s">
        <v>409</v>
      </c>
      <c r="H4" s="0" t="n">
        <v>9</v>
      </c>
      <c r="I4" s="0" t="n">
        <v>14</v>
      </c>
      <c r="J4" s="0" t="n">
        <v>2</v>
      </c>
      <c r="K4" s="0" t="s">
        <v>231</v>
      </c>
      <c r="L4" s="0" t="s">
        <v>231</v>
      </c>
      <c r="M4" s="28" t="b">
        <f aca="false">FALSE()</f>
        <v>0</v>
      </c>
      <c r="U4" s="0" t="n">
        <v>6.37</v>
      </c>
      <c r="V4" s="0" t="n">
        <v>13.4</v>
      </c>
      <c r="W4" s="0" t="n">
        <v>50.7</v>
      </c>
      <c r="X4" s="0" t="n">
        <v>2.63</v>
      </c>
      <c r="Y4" s="0" t="n">
        <v>0.6</v>
      </c>
      <c r="Z4" s="0" t="n">
        <v>-2.63</v>
      </c>
      <c r="AA4" s="0" t="n">
        <v>-0.6</v>
      </c>
      <c r="AB4" s="0" t="s">
        <v>233</v>
      </c>
      <c r="AC4" s="0" t="n">
        <v>1</v>
      </c>
      <c r="AD4" s="0" t="s">
        <v>234</v>
      </c>
      <c r="AE4" s="0" t="n">
        <v>1</v>
      </c>
      <c r="AF4" s="0" t="s">
        <v>232</v>
      </c>
      <c r="AG4" s="0" t="n">
        <v>0</v>
      </c>
      <c r="AH4" s="0" t="n">
        <v>40</v>
      </c>
      <c r="AI4" s="0" t="s">
        <v>350</v>
      </c>
      <c r="AJ4" s="0" t="n">
        <v>12.57</v>
      </c>
      <c r="AK4" s="0" t="n">
        <v>1.43</v>
      </c>
    </row>
    <row r="5" customFormat="false" ht="15" hidden="false" customHeight="false" outlineLevel="0" collapsed="false">
      <c r="A5" s="0" t="s">
        <v>71</v>
      </c>
      <c r="B5" s="0" t="s">
        <v>72</v>
      </c>
      <c r="C5" s="0" t="s">
        <v>73</v>
      </c>
      <c r="D5" s="0" t="s">
        <v>410</v>
      </c>
      <c r="E5" s="0" t="s">
        <v>411</v>
      </c>
      <c r="F5" s="0" t="s">
        <v>114</v>
      </c>
      <c r="G5" s="0" t="s">
        <v>74</v>
      </c>
      <c r="H5" s="0" t="n">
        <v>4</v>
      </c>
      <c r="I5" s="0" t="n">
        <v>13</v>
      </c>
      <c r="J5" s="0" t="n">
        <v>-7</v>
      </c>
      <c r="K5" s="0" t="s">
        <v>73</v>
      </c>
      <c r="L5" s="0" t="s">
        <v>73</v>
      </c>
      <c r="M5" s="28" t="b">
        <f aca="false">TRUE()</f>
        <v>1</v>
      </c>
      <c r="N5" s="0" t="s">
        <v>73</v>
      </c>
      <c r="O5" s="0" t="n">
        <v>3.23</v>
      </c>
      <c r="P5" s="0" t="n">
        <v>7</v>
      </c>
      <c r="Q5" s="0" t="n">
        <v>3.77</v>
      </c>
      <c r="R5" s="0" t="n">
        <v>1</v>
      </c>
      <c r="S5" s="0" t="n">
        <v>1</v>
      </c>
      <c r="T5" s="0" t="s">
        <v>76</v>
      </c>
      <c r="U5" s="0" t="n">
        <v>4.12</v>
      </c>
      <c r="V5" s="0" t="n">
        <v>9.07</v>
      </c>
      <c r="W5" s="0" t="n">
        <v>48.6</v>
      </c>
      <c r="X5" s="0" t="n">
        <v>0.12</v>
      </c>
      <c r="Y5" s="0" t="n">
        <v>3.93</v>
      </c>
      <c r="Z5" s="0" t="n">
        <v>0.12</v>
      </c>
      <c r="AA5" s="0" t="n">
        <v>-3.93</v>
      </c>
      <c r="AB5" s="0" t="s">
        <v>235</v>
      </c>
      <c r="AC5" s="0" t="n">
        <v>0</v>
      </c>
      <c r="AD5" s="0" t="s">
        <v>236</v>
      </c>
      <c r="AE5" s="0" t="n">
        <v>0</v>
      </c>
      <c r="AF5" s="0" t="s">
        <v>73</v>
      </c>
      <c r="AG5" s="0" t="n">
        <v>1</v>
      </c>
      <c r="AH5" s="0" t="n">
        <v>24</v>
      </c>
      <c r="AI5" s="0" t="s">
        <v>350</v>
      </c>
      <c r="AJ5" s="0" t="n">
        <v>10.36</v>
      </c>
      <c r="AK5" s="0" t="n">
        <v>2.64</v>
      </c>
    </row>
    <row r="6" customFormat="false" ht="15" hidden="false" customHeight="false" outlineLevel="0" collapsed="false">
      <c r="A6" s="0" t="s">
        <v>71</v>
      </c>
      <c r="B6" s="0" t="s">
        <v>77</v>
      </c>
      <c r="C6" s="0" t="s">
        <v>78</v>
      </c>
      <c r="D6" s="0" t="s">
        <v>412</v>
      </c>
      <c r="E6" s="0" t="s">
        <v>407</v>
      </c>
      <c r="F6" s="0" t="s">
        <v>413</v>
      </c>
      <c r="G6" s="0" t="s">
        <v>79</v>
      </c>
      <c r="H6" s="0" t="n">
        <v>6</v>
      </c>
      <c r="I6" s="0" t="n">
        <v>8</v>
      </c>
      <c r="J6" s="0" t="n">
        <v>2</v>
      </c>
      <c r="K6" s="0" t="s">
        <v>77</v>
      </c>
      <c r="L6" s="0" t="s">
        <v>77</v>
      </c>
      <c r="M6" s="28" t="b">
        <f aca="false">TRUE()</f>
        <v>1</v>
      </c>
      <c r="N6" s="0" t="s">
        <v>77</v>
      </c>
      <c r="O6" s="0" t="n">
        <v>4.7</v>
      </c>
      <c r="P6" s="0" t="n">
        <v>2</v>
      </c>
      <c r="Q6" s="0" t="n">
        <v>-2.7</v>
      </c>
      <c r="R6" s="0" t="n">
        <v>0</v>
      </c>
      <c r="S6" s="0" t="n">
        <v>1</v>
      </c>
      <c r="T6" s="0" t="s">
        <v>76</v>
      </c>
      <c r="U6" s="0" t="n">
        <v>4.1</v>
      </c>
      <c r="V6" s="0" t="n">
        <v>10.26</v>
      </c>
      <c r="W6" s="0" t="n">
        <v>51.5</v>
      </c>
      <c r="X6" s="0" t="n">
        <v>1.9</v>
      </c>
      <c r="Y6" s="0" t="n">
        <v>2.26</v>
      </c>
      <c r="Z6" s="0" t="n">
        <v>-1.9</v>
      </c>
      <c r="AA6" s="0" t="n">
        <v>2.26</v>
      </c>
      <c r="AB6" s="0" t="s">
        <v>235</v>
      </c>
      <c r="AC6" s="0" t="n">
        <v>0</v>
      </c>
      <c r="AD6" s="0" t="s">
        <v>237</v>
      </c>
      <c r="AF6" s="0" t="s">
        <v>77</v>
      </c>
      <c r="AG6" s="0" t="n">
        <v>1</v>
      </c>
      <c r="AH6" s="0" t="n">
        <v>53</v>
      </c>
      <c r="AI6" s="0" t="s">
        <v>351</v>
      </c>
      <c r="AJ6" s="0" t="n">
        <v>8.33</v>
      </c>
      <c r="AK6" s="0" t="n">
        <v>0.33</v>
      </c>
      <c r="AL6" s="0" t="s">
        <v>352</v>
      </c>
      <c r="AM6" s="0" t="s">
        <v>353</v>
      </c>
      <c r="AN6" s="0" t="n">
        <v>1</v>
      </c>
      <c r="AO6" s="0" t="n">
        <v>1</v>
      </c>
    </row>
    <row r="7" customFormat="false" ht="15" hidden="false" customHeight="false" outlineLevel="0" collapsed="false">
      <c r="A7" s="0" t="s">
        <v>71</v>
      </c>
      <c r="B7" s="0" t="s">
        <v>81</v>
      </c>
      <c r="C7" s="0" t="s">
        <v>82</v>
      </c>
      <c r="D7" s="0" t="s">
        <v>414</v>
      </c>
      <c r="E7" s="0" t="s">
        <v>415</v>
      </c>
      <c r="F7" s="0" t="s">
        <v>416</v>
      </c>
      <c r="G7" s="0" t="s">
        <v>83</v>
      </c>
      <c r="H7" s="0" t="n">
        <v>5</v>
      </c>
      <c r="I7" s="0" t="n">
        <v>8</v>
      </c>
      <c r="J7" s="0" t="n">
        <v>-4</v>
      </c>
      <c r="K7" s="0" t="s">
        <v>81</v>
      </c>
      <c r="L7" s="0" t="s">
        <v>82</v>
      </c>
      <c r="M7" s="28" t="b">
        <f aca="false">TRUE()</f>
        <v>1</v>
      </c>
      <c r="N7" s="0" t="s">
        <v>82</v>
      </c>
      <c r="O7" s="0" t="n">
        <v>3.45</v>
      </c>
      <c r="P7" s="0" t="n">
        <v>4</v>
      </c>
      <c r="Q7" s="0" t="n">
        <v>0.55</v>
      </c>
      <c r="R7" s="0" t="n">
        <v>1</v>
      </c>
      <c r="S7" s="0" t="n">
        <v>1</v>
      </c>
      <c r="T7" s="0" t="s">
        <v>76</v>
      </c>
      <c r="U7" s="0" t="n">
        <v>2.8</v>
      </c>
      <c r="V7" s="0" t="n">
        <v>8.9</v>
      </c>
      <c r="W7" s="0" t="n">
        <v>47.5</v>
      </c>
      <c r="X7" s="0" t="n">
        <v>2.2</v>
      </c>
      <c r="Y7" s="0" t="n">
        <v>0.9</v>
      </c>
      <c r="Z7" s="0" t="n">
        <v>-2.2</v>
      </c>
      <c r="AA7" s="0" t="n">
        <v>0.9</v>
      </c>
      <c r="AB7" s="0" t="s">
        <v>235</v>
      </c>
      <c r="AC7" s="0" t="n">
        <v>0</v>
      </c>
      <c r="AD7" s="0" t="s">
        <v>236</v>
      </c>
      <c r="AE7" s="0" t="n">
        <v>1</v>
      </c>
      <c r="AF7" s="0" t="s">
        <v>82</v>
      </c>
      <c r="AG7" s="0" t="n">
        <v>0</v>
      </c>
      <c r="AH7" s="0" t="n">
        <v>14</v>
      </c>
      <c r="AI7" s="0" t="s">
        <v>350</v>
      </c>
      <c r="AJ7" s="0" t="n">
        <v>9.67</v>
      </c>
      <c r="AK7" s="0" t="n">
        <v>1.67</v>
      </c>
    </row>
    <row r="8" customFormat="false" ht="15" hidden="false" customHeight="false" outlineLevel="0" collapsed="false">
      <c r="A8" s="0" t="s">
        <v>71</v>
      </c>
      <c r="B8" s="0" t="s">
        <v>239</v>
      </c>
      <c r="C8" s="0" t="s">
        <v>240</v>
      </c>
      <c r="D8" s="0" t="s">
        <v>417</v>
      </c>
      <c r="E8" s="0" t="s">
        <v>114</v>
      </c>
      <c r="F8" s="0" t="s">
        <v>418</v>
      </c>
      <c r="G8" s="0" t="s">
        <v>419</v>
      </c>
      <c r="H8" s="0" t="n">
        <v>2</v>
      </c>
      <c r="I8" s="0" t="n">
        <v>10</v>
      </c>
      <c r="J8" s="0" t="n">
        <v>-2</v>
      </c>
      <c r="K8" s="0" t="s">
        <v>241</v>
      </c>
      <c r="L8" s="0" t="s">
        <v>240</v>
      </c>
      <c r="M8" s="28" t="b">
        <f aca="false">FALSE()</f>
        <v>0</v>
      </c>
      <c r="U8" s="0" t="n">
        <v>4.15</v>
      </c>
      <c r="V8" s="0" t="n">
        <v>7.1</v>
      </c>
      <c r="W8" s="0" t="n">
        <v>42.2</v>
      </c>
      <c r="X8" s="0" t="n">
        <v>2.15</v>
      </c>
      <c r="Y8" s="0" t="n">
        <v>2.9</v>
      </c>
      <c r="Z8" s="0" t="n">
        <v>2.15</v>
      </c>
      <c r="AA8" s="0" t="n">
        <v>-2.9</v>
      </c>
      <c r="AB8" s="0" t="s">
        <v>235</v>
      </c>
      <c r="AC8" s="0" t="n">
        <v>1</v>
      </c>
      <c r="AD8" s="0" t="s">
        <v>236</v>
      </c>
      <c r="AE8" s="0" t="n">
        <v>0</v>
      </c>
      <c r="AF8" s="0" t="s">
        <v>240</v>
      </c>
      <c r="AG8" s="0" t="n">
        <v>0</v>
      </c>
      <c r="AH8" s="0" t="n">
        <v>39</v>
      </c>
      <c r="AI8" s="0" t="s">
        <v>350</v>
      </c>
      <c r="AJ8" s="0" t="n">
        <v>8.94</v>
      </c>
      <c r="AK8" s="0" t="n">
        <v>1.06</v>
      </c>
    </row>
    <row r="9" customFormat="false" ht="15" hidden="false" customHeight="false" outlineLevel="0" collapsed="false">
      <c r="A9" s="0" t="s">
        <v>71</v>
      </c>
      <c r="B9" s="0" t="s">
        <v>84</v>
      </c>
      <c r="C9" s="0" t="s">
        <v>85</v>
      </c>
      <c r="D9" s="0" t="s">
        <v>420</v>
      </c>
      <c r="E9" s="0" t="s">
        <v>418</v>
      </c>
      <c r="F9" s="0" t="s">
        <v>110</v>
      </c>
      <c r="G9" s="0" t="s">
        <v>86</v>
      </c>
      <c r="H9" s="0" t="n">
        <v>6</v>
      </c>
      <c r="I9" s="0" t="n">
        <v>9</v>
      </c>
      <c r="J9" s="0" t="n">
        <v>-1</v>
      </c>
      <c r="K9" s="0" t="s">
        <v>85</v>
      </c>
      <c r="L9" s="0" t="s">
        <v>85</v>
      </c>
      <c r="M9" s="28" t="b">
        <f aca="false">TRUE()</f>
        <v>1</v>
      </c>
      <c r="N9" s="0" t="s">
        <v>85</v>
      </c>
      <c r="O9" s="0" t="n">
        <v>2.72</v>
      </c>
      <c r="P9" s="0" t="n">
        <v>1</v>
      </c>
      <c r="Q9" s="0" t="n">
        <v>-1.72</v>
      </c>
      <c r="R9" s="0" t="n">
        <v>0</v>
      </c>
      <c r="S9" s="0" t="n">
        <v>1</v>
      </c>
      <c r="T9" s="0" t="s">
        <v>76</v>
      </c>
      <c r="U9" s="0" t="n">
        <v>6.39</v>
      </c>
      <c r="V9" s="0" t="n">
        <v>14.9</v>
      </c>
      <c r="W9" s="0" t="n">
        <v>51.5</v>
      </c>
      <c r="X9" s="0" t="n">
        <v>0.39</v>
      </c>
      <c r="Y9" s="0" t="n">
        <v>5.9</v>
      </c>
      <c r="Z9" s="0" t="n">
        <v>0.39</v>
      </c>
      <c r="AA9" s="0" t="n">
        <v>5.9</v>
      </c>
      <c r="AB9" s="0" t="s">
        <v>233</v>
      </c>
      <c r="AC9" s="0" t="n">
        <v>1</v>
      </c>
      <c r="AD9" s="0" t="s">
        <v>234</v>
      </c>
      <c r="AE9" s="0" t="n">
        <v>0</v>
      </c>
      <c r="AF9" s="0" t="s">
        <v>85</v>
      </c>
      <c r="AG9" s="0" t="n">
        <v>1</v>
      </c>
      <c r="AH9" s="0" t="n">
        <v>18</v>
      </c>
      <c r="AI9" s="0" t="s">
        <v>350</v>
      </c>
      <c r="AJ9" s="0" t="n">
        <v>12.98</v>
      </c>
      <c r="AK9" s="0" t="n">
        <v>3.98</v>
      </c>
    </row>
    <row r="10" customFormat="false" ht="15" hidden="false" customHeight="false" outlineLevel="0" collapsed="false">
      <c r="A10" s="0" t="s">
        <v>87</v>
      </c>
      <c r="B10" s="0" t="s">
        <v>88</v>
      </c>
      <c r="C10" s="0" t="s">
        <v>89</v>
      </c>
      <c r="D10" s="0" t="s">
        <v>421</v>
      </c>
      <c r="E10" s="0" t="s">
        <v>422</v>
      </c>
      <c r="F10" s="0" t="s">
        <v>422</v>
      </c>
      <c r="G10" s="0" t="s">
        <v>90</v>
      </c>
      <c r="H10" s="0" t="n">
        <v>2</v>
      </c>
      <c r="I10" s="0" t="n">
        <v>5</v>
      </c>
      <c r="J10" s="0" t="n">
        <v>1</v>
      </c>
      <c r="K10" s="0" t="s">
        <v>241</v>
      </c>
      <c r="L10" s="0" t="s">
        <v>88</v>
      </c>
      <c r="M10" s="28" t="b">
        <f aca="false">TRUE()</f>
        <v>1</v>
      </c>
      <c r="N10" s="0" t="s">
        <v>88</v>
      </c>
      <c r="O10" s="0" t="n">
        <v>6.47</v>
      </c>
      <c r="P10" s="0" t="n">
        <v>1</v>
      </c>
      <c r="Q10" s="0" t="n">
        <v>-5.47</v>
      </c>
      <c r="R10" s="0" t="n">
        <v>0</v>
      </c>
      <c r="S10" s="0" t="n">
        <v>1</v>
      </c>
      <c r="T10" s="0" t="s">
        <v>76</v>
      </c>
      <c r="U10" s="0" t="n">
        <v>5.34</v>
      </c>
      <c r="V10" s="0" t="n">
        <v>10.16</v>
      </c>
      <c r="W10" s="0" t="n">
        <v>88.1</v>
      </c>
      <c r="X10" s="0" t="n">
        <v>3.34</v>
      </c>
      <c r="Y10" s="0" t="n">
        <v>5.16</v>
      </c>
      <c r="Z10" s="0" t="n">
        <v>3.34</v>
      </c>
      <c r="AA10" s="0" t="n">
        <v>5.16</v>
      </c>
      <c r="AB10" s="0" t="s">
        <v>233</v>
      </c>
      <c r="AC10" s="0" t="n">
        <v>0</v>
      </c>
      <c r="AD10" s="0" t="s">
        <v>237</v>
      </c>
      <c r="AF10" s="0" t="s">
        <v>88</v>
      </c>
      <c r="AG10" s="0" t="n">
        <v>0</v>
      </c>
      <c r="AH10" s="0" t="n">
        <v>95</v>
      </c>
      <c r="AI10" s="0" t="s">
        <v>354</v>
      </c>
      <c r="AJ10" s="0" t="n">
        <v>8.05</v>
      </c>
      <c r="AK10" s="0" t="n">
        <v>3.05</v>
      </c>
      <c r="AL10" s="0" t="s">
        <v>355</v>
      </c>
      <c r="AM10" s="0" t="s">
        <v>356</v>
      </c>
      <c r="AN10" s="0" t="n">
        <v>0</v>
      </c>
      <c r="AO10" s="0" t="n">
        <v>0</v>
      </c>
    </row>
    <row r="11" customFormat="false" ht="15" hidden="false" customHeight="false" outlineLevel="0" collapsed="false">
      <c r="A11" s="0" t="s">
        <v>87</v>
      </c>
      <c r="B11" s="0" t="s">
        <v>242</v>
      </c>
      <c r="C11" s="0" t="s">
        <v>243</v>
      </c>
      <c r="D11" s="0" t="s">
        <v>423</v>
      </c>
      <c r="E11" s="0" t="s">
        <v>424</v>
      </c>
      <c r="F11" s="0" t="s">
        <v>188</v>
      </c>
      <c r="G11" s="0" t="s">
        <v>425</v>
      </c>
      <c r="H11" s="0" t="n">
        <v>4</v>
      </c>
      <c r="I11" s="0" t="n">
        <v>9</v>
      </c>
      <c r="J11" s="0" t="n">
        <v>-3</v>
      </c>
      <c r="K11" s="0" t="s">
        <v>243</v>
      </c>
      <c r="L11" s="0" t="s">
        <v>243</v>
      </c>
      <c r="M11" s="28" t="b">
        <f aca="false">FALSE()</f>
        <v>0</v>
      </c>
      <c r="U11" s="0" t="n">
        <v>3.16</v>
      </c>
      <c r="V11" s="0" t="n">
        <v>6.02</v>
      </c>
      <c r="W11" s="0" t="n">
        <v>78.1</v>
      </c>
      <c r="X11" s="0" t="n">
        <v>0.84</v>
      </c>
      <c r="Y11" s="0" t="n">
        <v>2.98</v>
      </c>
      <c r="Z11" s="0" t="n">
        <v>-0.84</v>
      </c>
      <c r="AA11" s="0" t="n">
        <v>-2.98</v>
      </c>
      <c r="AB11" s="0" t="s">
        <v>235</v>
      </c>
      <c r="AC11" s="0" t="n">
        <v>0</v>
      </c>
      <c r="AD11" s="0" t="s">
        <v>236</v>
      </c>
      <c r="AE11" s="0" t="n">
        <v>1</v>
      </c>
      <c r="AF11" s="0" t="s">
        <v>244</v>
      </c>
      <c r="AG11" s="0" t="n">
        <v>1</v>
      </c>
      <c r="AH11" s="0" t="n">
        <v>49</v>
      </c>
      <c r="AI11" s="0" t="s">
        <v>350</v>
      </c>
      <c r="AJ11" s="0" t="n">
        <v>9.43</v>
      </c>
      <c r="AK11" s="0" t="n">
        <v>0.43</v>
      </c>
    </row>
    <row r="12" customFormat="false" ht="15" hidden="false" customHeight="false" outlineLevel="0" collapsed="false">
      <c r="A12" s="0" t="s">
        <v>87</v>
      </c>
      <c r="B12" s="0" t="s">
        <v>245</v>
      </c>
      <c r="C12" s="0" t="s">
        <v>246</v>
      </c>
      <c r="D12" s="0" t="s">
        <v>426</v>
      </c>
      <c r="E12" s="0" t="s">
        <v>427</v>
      </c>
      <c r="F12" s="0" t="s">
        <v>422</v>
      </c>
      <c r="G12" s="0" t="s">
        <v>413</v>
      </c>
      <c r="H12" s="0" t="n">
        <v>2</v>
      </c>
      <c r="I12" s="0" t="n">
        <v>6</v>
      </c>
      <c r="J12" s="0" t="n">
        <v>0</v>
      </c>
      <c r="K12" s="0" t="s">
        <v>245</v>
      </c>
      <c r="L12" s="0" t="s">
        <v>241</v>
      </c>
      <c r="M12" s="28" t="b">
        <f aca="false">FALSE()</f>
        <v>0</v>
      </c>
      <c r="U12" s="0" t="n">
        <v>3.93</v>
      </c>
      <c r="V12" s="0" t="n">
        <v>8.02</v>
      </c>
      <c r="W12" s="0" t="n">
        <v>81.5</v>
      </c>
      <c r="X12" s="0" t="n">
        <v>1.93</v>
      </c>
      <c r="Y12" s="0" t="n">
        <v>2.02</v>
      </c>
      <c r="Z12" s="0" t="n">
        <v>1.93</v>
      </c>
      <c r="AA12" s="0" t="n">
        <v>2.02</v>
      </c>
      <c r="AB12" s="0" t="s">
        <v>235</v>
      </c>
      <c r="AC12" s="0" t="n">
        <v>1</v>
      </c>
      <c r="AD12" s="0" t="s">
        <v>236</v>
      </c>
      <c r="AE12" s="0" t="n">
        <v>1</v>
      </c>
      <c r="AF12" s="0" t="s">
        <v>246</v>
      </c>
      <c r="AG12" s="0" t="n">
        <v>0</v>
      </c>
      <c r="AH12" s="0" t="n">
        <v>31</v>
      </c>
      <c r="AI12" s="0" t="s">
        <v>350</v>
      </c>
      <c r="AJ12" s="0" t="n">
        <v>10.1</v>
      </c>
      <c r="AK12" s="0" t="n">
        <v>4.1</v>
      </c>
    </row>
    <row r="13" customFormat="false" ht="15" hidden="false" customHeight="false" outlineLevel="0" collapsed="false">
      <c r="A13" s="0" t="s">
        <v>87</v>
      </c>
      <c r="B13" s="0" t="s">
        <v>247</v>
      </c>
      <c r="C13" s="0" t="s">
        <v>248</v>
      </c>
      <c r="D13" s="0" t="s">
        <v>428</v>
      </c>
      <c r="E13" s="0" t="s">
        <v>429</v>
      </c>
      <c r="F13" s="0" t="s">
        <v>430</v>
      </c>
      <c r="G13" s="0" t="s">
        <v>125</v>
      </c>
      <c r="H13" s="0" t="n">
        <v>3</v>
      </c>
      <c r="I13" s="0" t="n">
        <v>7</v>
      </c>
      <c r="J13" s="0" t="n">
        <v>5</v>
      </c>
      <c r="K13" s="0" t="s">
        <v>241</v>
      </c>
      <c r="L13" s="0" t="s">
        <v>247</v>
      </c>
      <c r="M13" s="28" t="b">
        <f aca="false">FALSE()</f>
        <v>0</v>
      </c>
      <c r="U13" s="0" t="n">
        <v>3.7</v>
      </c>
      <c r="V13" s="0" t="n">
        <v>8.55</v>
      </c>
      <c r="W13" s="0" t="n">
        <v>81.6</v>
      </c>
      <c r="X13" s="0" t="n">
        <v>0.7</v>
      </c>
      <c r="Y13" s="0" t="n">
        <v>1.55</v>
      </c>
      <c r="Z13" s="0" t="n">
        <v>0.7</v>
      </c>
      <c r="AA13" s="0" t="n">
        <v>1.55</v>
      </c>
      <c r="AB13" s="0" t="s">
        <v>235</v>
      </c>
      <c r="AC13" s="0" t="n">
        <v>1</v>
      </c>
      <c r="AD13" s="0" t="s">
        <v>236</v>
      </c>
      <c r="AE13" s="0" t="n">
        <v>1</v>
      </c>
      <c r="AF13" s="0" t="s">
        <v>249</v>
      </c>
      <c r="AG13" s="0" t="n">
        <v>0</v>
      </c>
      <c r="AH13" s="0" t="n">
        <v>40</v>
      </c>
      <c r="AI13" s="0" t="s">
        <v>350</v>
      </c>
      <c r="AJ13" s="0" t="n">
        <v>9.29</v>
      </c>
      <c r="AK13" s="0" t="n">
        <v>2.29</v>
      </c>
    </row>
    <row r="14" customFormat="false" ht="15" hidden="false" customHeight="false" outlineLevel="0" collapsed="false">
      <c r="A14" s="0" t="s">
        <v>87</v>
      </c>
      <c r="B14" s="0" t="s">
        <v>91</v>
      </c>
      <c r="C14" s="0" t="s">
        <v>92</v>
      </c>
      <c r="D14" s="0" t="s">
        <v>431</v>
      </c>
      <c r="E14" s="0" t="s">
        <v>411</v>
      </c>
      <c r="F14" s="0" t="s">
        <v>93</v>
      </c>
      <c r="G14" s="0" t="s">
        <v>93</v>
      </c>
      <c r="H14" s="0" t="n">
        <v>4</v>
      </c>
      <c r="I14" s="0" t="n">
        <v>4</v>
      </c>
      <c r="J14" s="0" t="n">
        <v>-4</v>
      </c>
      <c r="K14" s="0" t="s">
        <v>92</v>
      </c>
      <c r="L14" s="0" t="s">
        <v>92</v>
      </c>
      <c r="M14" s="28" t="b">
        <f aca="false">TRUE()</f>
        <v>1</v>
      </c>
      <c r="N14" s="0" t="s">
        <v>91</v>
      </c>
      <c r="O14" s="0" t="n">
        <v>2.92</v>
      </c>
      <c r="P14" s="0" t="n">
        <v>-4</v>
      </c>
      <c r="Q14" s="0" t="n">
        <v>-6.92</v>
      </c>
      <c r="R14" s="0" t="n">
        <v>0</v>
      </c>
      <c r="S14" s="0" t="n">
        <v>0</v>
      </c>
      <c r="T14" s="0" t="s">
        <v>76</v>
      </c>
      <c r="U14" s="0" t="n">
        <v>4.25</v>
      </c>
      <c r="V14" s="0" t="n">
        <v>10.34</v>
      </c>
      <c r="W14" s="0" t="n">
        <v>87.2</v>
      </c>
      <c r="X14" s="0" t="n">
        <v>0.25</v>
      </c>
      <c r="Y14" s="0" t="n">
        <v>6.34</v>
      </c>
      <c r="Z14" s="0" t="n">
        <v>0.25</v>
      </c>
      <c r="AA14" s="0" t="n">
        <v>6.34</v>
      </c>
      <c r="AB14" s="0" t="s">
        <v>235</v>
      </c>
      <c r="AC14" s="0" t="n">
        <v>0</v>
      </c>
      <c r="AD14" s="0" t="s">
        <v>237</v>
      </c>
      <c r="AF14" s="0" t="s">
        <v>91</v>
      </c>
      <c r="AG14" s="0" t="n">
        <v>0</v>
      </c>
      <c r="AH14" s="0" t="n">
        <v>28</v>
      </c>
      <c r="AI14" s="0" t="s">
        <v>350</v>
      </c>
      <c r="AJ14" s="0" t="n">
        <v>8.83</v>
      </c>
      <c r="AK14" s="0" t="n">
        <v>4.83</v>
      </c>
    </row>
    <row r="15" customFormat="false" ht="15" hidden="false" customHeight="false" outlineLevel="0" collapsed="false">
      <c r="A15" s="0" t="s">
        <v>87</v>
      </c>
      <c r="B15" s="0" t="s">
        <v>250</v>
      </c>
      <c r="C15" s="0" t="s">
        <v>251</v>
      </c>
      <c r="D15" s="0" t="s">
        <v>432</v>
      </c>
      <c r="E15" s="0" t="s">
        <v>411</v>
      </c>
      <c r="F15" s="0" t="s">
        <v>411</v>
      </c>
      <c r="G15" s="0" t="s">
        <v>86</v>
      </c>
      <c r="H15" s="0" t="n">
        <v>3</v>
      </c>
      <c r="I15" s="0" t="n">
        <v>9</v>
      </c>
      <c r="J15" s="0" t="n">
        <v>-1</v>
      </c>
      <c r="K15" s="0" t="s">
        <v>251</v>
      </c>
      <c r="L15" s="0" t="s">
        <v>251</v>
      </c>
      <c r="M15" s="28" t="b">
        <f aca="false">FALSE()</f>
        <v>0</v>
      </c>
      <c r="U15" s="0" t="n">
        <v>3.72</v>
      </c>
      <c r="V15" s="0" t="n">
        <v>7.31</v>
      </c>
      <c r="W15" s="0" t="n">
        <v>83</v>
      </c>
      <c r="X15" s="0" t="n">
        <v>0.72</v>
      </c>
      <c r="Y15" s="0" t="n">
        <v>1.69</v>
      </c>
      <c r="Z15" s="0" t="n">
        <v>0.72</v>
      </c>
      <c r="AA15" s="0" t="n">
        <v>-1.69</v>
      </c>
      <c r="AB15" s="0" t="s">
        <v>235</v>
      </c>
      <c r="AC15" s="0" t="n">
        <v>1</v>
      </c>
      <c r="AD15" s="0" t="s">
        <v>236</v>
      </c>
      <c r="AE15" s="0" t="n">
        <v>1</v>
      </c>
      <c r="AF15" s="0" t="s">
        <v>252</v>
      </c>
      <c r="AG15" s="0" t="n">
        <v>1</v>
      </c>
      <c r="AH15" s="0" t="n">
        <v>9</v>
      </c>
      <c r="AI15" s="0" t="s">
        <v>350</v>
      </c>
      <c r="AJ15" s="0" t="n">
        <v>9.71</v>
      </c>
      <c r="AK15" s="0" t="n">
        <v>0.710000000000001</v>
      </c>
    </row>
    <row r="16" customFormat="false" ht="15" hidden="false" customHeight="false" outlineLevel="0" collapsed="false">
      <c r="A16" s="0" t="s">
        <v>87</v>
      </c>
      <c r="B16" s="0" t="s">
        <v>94</v>
      </c>
      <c r="C16" s="0" t="s">
        <v>95</v>
      </c>
      <c r="D16" s="0" t="s">
        <v>433</v>
      </c>
      <c r="E16" s="0" t="s">
        <v>434</v>
      </c>
      <c r="F16" s="0" t="s">
        <v>435</v>
      </c>
      <c r="G16" s="0" t="s">
        <v>96</v>
      </c>
      <c r="H16" s="0" t="n">
        <v>9</v>
      </c>
      <c r="I16" s="0" t="n">
        <v>13</v>
      </c>
      <c r="J16" s="0" t="n">
        <v>9</v>
      </c>
      <c r="K16" s="0" t="s">
        <v>94</v>
      </c>
      <c r="L16" s="0" t="s">
        <v>94</v>
      </c>
      <c r="M16" s="28" t="b">
        <f aca="false">TRUE()</f>
        <v>1</v>
      </c>
      <c r="N16" s="0" t="s">
        <v>94</v>
      </c>
      <c r="O16" s="0" t="n">
        <v>3.43</v>
      </c>
      <c r="P16" s="0" t="n">
        <v>9</v>
      </c>
      <c r="Q16" s="0" t="n">
        <v>5.57</v>
      </c>
      <c r="R16" s="0" t="n">
        <v>1</v>
      </c>
      <c r="S16" s="0" t="n">
        <v>1</v>
      </c>
      <c r="T16" s="0" t="s">
        <v>76</v>
      </c>
      <c r="U16" s="0" t="n">
        <v>3.89</v>
      </c>
      <c r="V16" s="0" t="n">
        <v>7.63</v>
      </c>
      <c r="W16" s="0" t="n">
        <v>88.1</v>
      </c>
      <c r="X16" s="0" t="n">
        <v>5.11</v>
      </c>
      <c r="Y16" s="0" t="n">
        <v>5.37</v>
      </c>
      <c r="Z16" s="0" t="n">
        <v>-5.11</v>
      </c>
      <c r="AA16" s="0" t="n">
        <v>-5.37</v>
      </c>
      <c r="AB16" s="0" t="s">
        <v>235</v>
      </c>
      <c r="AC16" s="0" t="n">
        <v>0</v>
      </c>
      <c r="AD16" s="0" t="s">
        <v>236</v>
      </c>
      <c r="AE16" s="0" t="n">
        <v>0</v>
      </c>
      <c r="AF16" s="0" t="s">
        <v>94</v>
      </c>
      <c r="AG16" s="0" t="n">
        <v>1</v>
      </c>
      <c r="AH16" s="0" t="n">
        <v>60</v>
      </c>
      <c r="AI16" s="0" t="s">
        <v>351</v>
      </c>
      <c r="AJ16" s="0" t="n">
        <v>6.43</v>
      </c>
      <c r="AK16" s="0" t="n">
        <v>6.57</v>
      </c>
      <c r="AL16" s="0" t="s">
        <v>352</v>
      </c>
      <c r="AM16" s="0" t="s">
        <v>357</v>
      </c>
      <c r="AN16" s="0" t="n">
        <v>1</v>
      </c>
      <c r="AO16" s="0" t="n">
        <v>1</v>
      </c>
    </row>
    <row r="17" customFormat="false" ht="15" hidden="false" customHeight="false" outlineLevel="0" collapsed="false">
      <c r="A17" s="0" t="s">
        <v>87</v>
      </c>
      <c r="B17" s="0" t="s">
        <v>97</v>
      </c>
      <c r="C17" s="0" t="s">
        <v>98</v>
      </c>
      <c r="D17" s="0" t="s">
        <v>436</v>
      </c>
      <c r="E17" s="0" t="s">
        <v>429</v>
      </c>
      <c r="F17" s="0" t="s">
        <v>104</v>
      </c>
      <c r="G17" s="0" t="s">
        <v>79</v>
      </c>
      <c r="H17" s="0" t="n">
        <v>5</v>
      </c>
      <c r="I17" s="0" t="n">
        <v>8</v>
      </c>
      <c r="J17" s="0" t="n">
        <v>2</v>
      </c>
      <c r="K17" s="0" t="s">
        <v>241</v>
      </c>
      <c r="L17" s="0" t="s">
        <v>97</v>
      </c>
      <c r="M17" s="28" t="b">
        <f aca="false">TRUE()</f>
        <v>1</v>
      </c>
      <c r="N17" s="0" t="s">
        <v>97</v>
      </c>
      <c r="O17" s="0" t="n">
        <v>2.67</v>
      </c>
      <c r="P17" s="0" t="n">
        <v>2</v>
      </c>
      <c r="Q17" s="0" t="n">
        <v>-0.67</v>
      </c>
      <c r="R17" s="0" t="n">
        <v>0</v>
      </c>
      <c r="S17" s="0" t="n">
        <v>1</v>
      </c>
      <c r="T17" s="0" t="s">
        <v>76</v>
      </c>
      <c r="U17" s="0" t="n">
        <v>3.08</v>
      </c>
      <c r="V17" s="0" t="n">
        <v>4.94</v>
      </c>
      <c r="W17" s="0" t="n">
        <v>78.1</v>
      </c>
      <c r="X17" s="0" t="n">
        <v>1.92</v>
      </c>
      <c r="Y17" s="0" t="n">
        <v>3.06</v>
      </c>
      <c r="Z17" s="0" t="n">
        <v>-1.92</v>
      </c>
      <c r="AA17" s="0" t="n">
        <v>-3.06</v>
      </c>
      <c r="AB17" s="0" t="s">
        <v>235</v>
      </c>
      <c r="AC17" s="0" t="n">
        <v>0</v>
      </c>
      <c r="AD17" s="0" t="s">
        <v>236</v>
      </c>
      <c r="AE17" s="0" t="n">
        <v>1</v>
      </c>
      <c r="AF17" s="0" t="s">
        <v>97</v>
      </c>
      <c r="AG17" s="0" t="n">
        <v>0</v>
      </c>
      <c r="AH17" s="0" t="n">
        <v>54</v>
      </c>
      <c r="AI17" s="0" t="s">
        <v>351</v>
      </c>
      <c r="AJ17" s="0" t="n">
        <v>7.62</v>
      </c>
      <c r="AK17" s="0" t="n">
        <v>0.38</v>
      </c>
      <c r="AL17" s="0" t="s">
        <v>352</v>
      </c>
      <c r="AM17" s="0" t="s">
        <v>358</v>
      </c>
      <c r="AN17" s="0" t="n">
        <v>1</v>
      </c>
      <c r="AO17" s="0" t="n">
        <v>1</v>
      </c>
    </row>
    <row r="18" customFormat="false" ht="15" hidden="false" customHeight="false" outlineLevel="0" collapsed="false">
      <c r="A18" s="0" t="s">
        <v>87</v>
      </c>
      <c r="B18" s="0" t="s">
        <v>99</v>
      </c>
      <c r="C18" s="0" t="s">
        <v>100</v>
      </c>
      <c r="D18" s="0" t="s">
        <v>437</v>
      </c>
      <c r="E18" s="0" t="s">
        <v>422</v>
      </c>
      <c r="F18" s="0" t="s">
        <v>427</v>
      </c>
      <c r="G18" s="0" t="s">
        <v>101</v>
      </c>
      <c r="H18" s="0" t="n">
        <v>2</v>
      </c>
      <c r="I18" s="0" t="n">
        <v>7</v>
      </c>
      <c r="J18" s="0" t="n">
        <v>1</v>
      </c>
      <c r="K18" s="0" t="s">
        <v>241</v>
      </c>
      <c r="L18" s="0" t="s">
        <v>99</v>
      </c>
      <c r="M18" s="28" t="b">
        <f aca="false">TRUE()</f>
        <v>1</v>
      </c>
      <c r="N18" s="0" t="s">
        <v>100</v>
      </c>
      <c r="O18" s="0" t="n">
        <v>2.92</v>
      </c>
      <c r="P18" s="0" t="n">
        <v>-1</v>
      </c>
      <c r="Q18" s="0" t="n">
        <v>-3.92</v>
      </c>
      <c r="R18" s="0" t="n">
        <v>0</v>
      </c>
      <c r="S18" s="0" t="n">
        <v>0</v>
      </c>
      <c r="T18" s="0" t="s">
        <v>76</v>
      </c>
      <c r="U18" s="0" t="n">
        <v>4.71</v>
      </c>
      <c r="V18" s="0" t="n">
        <v>10.3</v>
      </c>
      <c r="W18" s="0" t="n">
        <v>88.1</v>
      </c>
      <c r="X18" s="0" t="n">
        <v>2.71</v>
      </c>
      <c r="Y18" s="0" t="n">
        <v>3.3</v>
      </c>
      <c r="Z18" s="0" t="n">
        <v>2.71</v>
      </c>
      <c r="AA18" s="0" t="n">
        <v>3.3</v>
      </c>
      <c r="AB18" s="0" t="s">
        <v>237</v>
      </c>
      <c r="AD18" s="0" t="s">
        <v>237</v>
      </c>
      <c r="AF18" s="0" t="s">
        <v>100</v>
      </c>
      <c r="AG18" s="0" t="n">
        <v>0</v>
      </c>
      <c r="AH18" s="0" t="n">
        <v>16</v>
      </c>
      <c r="AI18" s="0" t="s">
        <v>350</v>
      </c>
      <c r="AJ18" s="0" t="n">
        <v>9.95</v>
      </c>
      <c r="AK18" s="0" t="n">
        <v>2.95</v>
      </c>
    </row>
    <row r="19" customFormat="false" ht="15" hidden="false" customHeight="false" outlineLevel="0" collapsed="false">
      <c r="A19" s="0" t="s">
        <v>87</v>
      </c>
      <c r="B19" s="0" t="s">
        <v>253</v>
      </c>
      <c r="C19" s="0" t="s">
        <v>254</v>
      </c>
      <c r="D19" s="0" t="s">
        <v>438</v>
      </c>
      <c r="E19" s="0" t="s">
        <v>424</v>
      </c>
      <c r="F19" s="0" t="s">
        <v>101</v>
      </c>
      <c r="G19" s="0" t="s">
        <v>439</v>
      </c>
      <c r="H19" s="0" t="n">
        <v>7</v>
      </c>
      <c r="I19" s="0" t="n">
        <v>12</v>
      </c>
      <c r="J19" s="0" t="n">
        <v>4</v>
      </c>
      <c r="K19" s="0" t="s">
        <v>254</v>
      </c>
      <c r="L19" s="0" t="s">
        <v>253</v>
      </c>
      <c r="M19" s="28" t="b">
        <f aca="false">FALSE()</f>
        <v>0</v>
      </c>
      <c r="U19" s="0" t="n">
        <v>1.75</v>
      </c>
      <c r="V19" s="0" t="n">
        <v>2.65</v>
      </c>
      <c r="W19" s="0" t="n">
        <v>78.1</v>
      </c>
      <c r="X19" s="0" t="n">
        <v>5.25</v>
      </c>
      <c r="Y19" s="0" t="n">
        <v>9.35</v>
      </c>
      <c r="Z19" s="0" t="n">
        <v>-5.25</v>
      </c>
      <c r="AA19" s="0" t="n">
        <v>-9.35</v>
      </c>
      <c r="AB19" s="0" t="s">
        <v>235</v>
      </c>
      <c r="AC19" s="0" t="n">
        <v>0</v>
      </c>
      <c r="AD19" s="0" t="s">
        <v>236</v>
      </c>
      <c r="AE19" s="0" t="n">
        <v>0</v>
      </c>
      <c r="AF19" s="0" t="s">
        <v>253</v>
      </c>
      <c r="AG19" s="0" t="n">
        <v>0</v>
      </c>
      <c r="AH19" s="0" t="n">
        <v>46</v>
      </c>
      <c r="AI19" s="0" t="s">
        <v>350</v>
      </c>
      <c r="AJ19" s="0" t="n">
        <v>7.02</v>
      </c>
      <c r="AK19" s="0" t="n">
        <v>4.98</v>
      </c>
    </row>
    <row r="20" customFormat="false" ht="15" hidden="false" customHeight="false" outlineLevel="0" collapsed="false">
      <c r="A20" s="0" t="s">
        <v>87</v>
      </c>
      <c r="B20" s="0" t="s">
        <v>102</v>
      </c>
      <c r="C20" s="0" t="s">
        <v>103</v>
      </c>
      <c r="D20" s="0" t="s">
        <v>440</v>
      </c>
      <c r="E20" s="0" t="s">
        <v>422</v>
      </c>
      <c r="F20" s="0" t="s">
        <v>441</v>
      </c>
      <c r="G20" s="0" t="s">
        <v>104</v>
      </c>
      <c r="H20" s="0" t="n">
        <v>1</v>
      </c>
      <c r="I20" s="0" t="n">
        <v>5</v>
      </c>
      <c r="J20" s="0" t="n">
        <v>-1</v>
      </c>
      <c r="K20" s="0" t="s">
        <v>241</v>
      </c>
      <c r="L20" s="0" t="s">
        <v>103</v>
      </c>
      <c r="M20" s="28" t="b">
        <f aca="false">TRUE()</f>
        <v>1</v>
      </c>
      <c r="N20" s="0" t="s">
        <v>102</v>
      </c>
      <c r="O20" s="0" t="n">
        <v>5.05</v>
      </c>
      <c r="P20" s="0" t="n">
        <v>-1</v>
      </c>
      <c r="Q20" s="0" t="n">
        <v>-6.05</v>
      </c>
      <c r="R20" s="0" t="n">
        <v>0</v>
      </c>
      <c r="S20" s="0" t="n">
        <v>0</v>
      </c>
      <c r="T20" s="0" t="s">
        <v>76</v>
      </c>
      <c r="U20" s="0" t="n">
        <v>2.09</v>
      </c>
      <c r="V20" s="0" t="n">
        <v>6.25</v>
      </c>
      <c r="W20" s="0" t="n">
        <v>83</v>
      </c>
      <c r="X20" s="0" t="n">
        <v>1.09</v>
      </c>
      <c r="Y20" s="0" t="n">
        <v>1.25</v>
      </c>
      <c r="Z20" s="0" t="n">
        <v>1.09</v>
      </c>
      <c r="AA20" s="0" t="n">
        <v>1.25</v>
      </c>
      <c r="AB20" s="0" t="s">
        <v>235</v>
      </c>
      <c r="AC20" s="0" t="n">
        <v>1</v>
      </c>
      <c r="AD20" s="0" t="s">
        <v>236</v>
      </c>
      <c r="AE20" s="0" t="n">
        <v>1</v>
      </c>
      <c r="AF20" s="0" t="s">
        <v>102</v>
      </c>
      <c r="AG20" s="0" t="n">
        <v>0</v>
      </c>
      <c r="AH20" s="0" t="n">
        <v>75</v>
      </c>
      <c r="AI20" s="0" t="s">
        <v>354</v>
      </c>
      <c r="AJ20" s="0" t="n">
        <v>6.17</v>
      </c>
      <c r="AK20" s="0" t="n">
        <v>1.17</v>
      </c>
      <c r="AL20" s="0" t="s">
        <v>355</v>
      </c>
      <c r="AM20" s="0" t="s">
        <v>359</v>
      </c>
      <c r="AN20" s="0" t="n">
        <v>0</v>
      </c>
      <c r="AO20" s="0" t="n">
        <v>0</v>
      </c>
    </row>
    <row r="21" customFormat="false" ht="15" hidden="false" customHeight="false" outlineLevel="0" collapsed="false">
      <c r="A21" s="0" t="s">
        <v>87</v>
      </c>
      <c r="B21" s="0" t="s">
        <v>105</v>
      </c>
      <c r="C21" s="0" t="s">
        <v>106</v>
      </c>
      <c r="D21" s="0" t="s">
        <v>442</v>
      </c>
      <c r="E21" s="0" t="s">
        <v>443</v>
      </c>
      <c r="F21" s="0" t="s">
        <v>444</v>
      </c>
      <c r="G21" s="0" t="s">
        <v>107</v>
      </c>
      <c r="H21" s="0" t="n">
        <v>6</v>
      </c>
      <c r="I21" s="0" t="n">
        <v>9</v>
      </c>
      <c r="J21" s="0" t="n">
        <v>7</v>
      </c>
      <c r="K21" s="0" t="s">
        <v>105</v>
      </c>
      <c r="L21" s="0" t="s">
        <v>105</v>
      </c>
      <c r="M21" s="28" t="b">
        <f aca="false">TRUE()</f>
        <v>1</v>
      </c>
      <c r="N21" s="0" t="s">
        <v>105</v>
      </c>
      <c r="O21" s="0" t="n">
        <v>6.18</v>
      </c>
      <c r="P21" s="0" t="n">
        <v>7</v>
      </c>
      <c r="Q21" s="0" t="n">
        <v>0.82</v>
      </c>
      <c r="R21" s="0" t="n">
        <v>1</v>
      </c>
      <c r="S21" s="0" t="n">
        <v>1</v>
      </c>
      <c r="T21" s="0" t="s">
        <v>76</v>
      </c>
      <c r="U21" s="0" t="n">
        <v>4.99</v>
      </c>
      <c r="V21" s="0" t="n">
        <v>8.96</v>
      </c>
      <c r="W21" s="0" t="n">
        <v>88</v>
      </c>
      <c r="X21" s="0" t="n">
        <v>1.01</v>
      </c>
      <c r="Y21" s="0" t="n">
        <v>0.0399999999999992</v>
      </c>
      <c r="Z21" s="0" t="n">
        <v>-1.01</v>
      </c>
      <c r="AA21" s="0" t="n">
        <v>-0.0399999999999992</v>
      </c>
      <c r="AB21" s="0" t="s">
        <v>237</v>
      </c>
      <c r="AD21" s="0" t="s">
        <v>236</v>
      </c>
      <c r="AE21" s="0" t="n">
        <v>1</v>
      </c>
      <c r="AF21" s="0" t="s">
        <v>105</v>
      </c>
      <c r="AG21" s="0" t="n">
        <v>1</v>
      </c>
      <c r="AH21" s="0" t="n">
        <v>75</v>
      </c>
      <c r="AI21" s="0" t="s">
        <v>354</v>
      </c>
      <c r="AJ21" s="0" t="n">
        <v>11.31</v>
      </c>
      <c r="AK21" s="0" t="n">
        <v>2.31</v>
      </c>
      <c r="AL21" s="0" t="s">
        <v>355</v>
      </c>
      <c r="AM21" s="0" t="s">
        <v>360</v>
      </c>
      <c r="AN21" s="0" t="n">
        <v>1</v>
      </c>
      <c r="AO21" s="0" t="n">
        <v>1</v>
      </c>
    </row>
    <row r="22" customFormat="false" ht="15" hidden="false" customHeight="false" outlineLevel="0" collapsed="false">
      <c r="A22" s="0" t="s">
        <v>87</v>
      </c>
      <c r="B22" s="0" t="s">
        <v>255</v>
      </c>
      <c r="C22" s="0" t="s">
        <v>256</v>
      </c>
      <c r="D22" s="0" t="s">
        <v>445</v>
      </c>
      <c r="E22" s="0" t="s">
        <v>441</v>
      </c>
      <c r="F22" s="0" t="s">
        <v>104</v>
      </c>
      <c r="G22" s="0" t="s">
        <v>425</v>
      </c>
      <c r="H22" s="0" t="n">
        <v>5</v>
      </c>
      <c r="I22" s="0" t="n">
        <v>9</v>
      </c>
      <c r="J22" s="0" t="n">
        <v>-3</v>
      </c>
      <c r="K22" s="0" t="s">
        <v>255</v>
      </c>
      <c r="L22" s="0" t="s">
        <v>256</v>
      </c>
      <c r="M22" s="28" t="b">
        <f aca="false">FALSE()</f>
        <v>0</v>
      </c>
      <c r="U22" s="0" t="n">
        <v>2.69</v>
      </c>
      <c r="V22" s="0" t="n">
        <v>5.6</v>
      </c>
      <c r="W22" s="0" t="n">
        <v>78.1</v>
      </c>
      <c r="X22" s="0" t="n">
        <v>2.31</v>
      </c>
      <c r="Y22" s="0" t="n">
        <v>3.4</v>
      </c>
      <c r="Z22" s="0" t="n">
        <v>-2.31</v>
      </c>
      <c r="AA22" s="0" t="n">
        <v>-3.4</v>
      </c>
      <c r="AB22" s="0" t="s">
        <v>235</v>
      </c>
      <c r="AC22" s="0" t="n">
        <v>0</v>
      </c>
      <c r="AD22" s="0" t="s">
        <v>236</v>
      </c>
      <c r="AE22" s="0" t="n">
        <v>1</v>
      </c>
      <c r="AF22" s="0" t="s">
        <v>256</v>
      </c>
      <c r="AG22" s="0" t="n">
        <v>0</v>
      </c>
      <c r="AH22" s="0" t="n">
        <v>29</v>
      </c>
      <c r="AI22" s="0" t="s">
        <v>350</v>
      </c>
      <c r="AJ22" s="0" t="n">
        <v>8.64</v>
      </c>
      <c r="AK22" s="0" t="n">
        <v>0.359999999999999</v>
      </c>
    </row>
    <row r="23" customFormat="false" ht="15" hidden="false" customHeight="false" outlineLevel="0" collapsed="false">
      <c r="A23" s="0" t="s">
        <v>87</v>
      </c>
      <c r="B23" s="0" t="s">
        <v>108</v>
      </c>
      <c r="C23" s="0" t="s">
        <v>109</v>
      </c>
      <c r="D23" s="0" t="s">
        <v>446</v>
      </c>
      <c r="E23" s="0" t="s">
        <v>114</v>
      </c>
      <c r="F23" s="0" t="s">
        <v>422</v>
      </c>
      <c r="G23" s="0" t="s">
        <v>110</v>
      </c>
      <c r="H23" s="0" t="n">
        <v>2</v>
      </c>
      <c r="I23" s="0" t="n">
        <v>6</v>
      </c>
      <c r="J23" s="0" t="n">
        <v>-2</v>
      </c>
      <c r="K23" s="0" t="s">
        <v>241</v>
      </c>
      <c r="L23" s="0" t="s">
        <v>109</v>
      </c>
      <c r="M23" s="28" t="b">
        <f aca="false">TRUE()</f>
        <v>1</v>
      </c>
      <c r="N23" s="0" t="s">
        <v>109</v>
      </c>
      <c r="O23" s="0" t="n">
        <v>5.88</v>
      </c>
      <c r="P23" s="0" t="n">
        <v>2</v>
      </c>
      <c r="Q23" s="0" t="n">
        <v>-3.88</v>
      </c>
      <c r="R23" s="0" t="n">
        <v>0</v>
      </c>
      <c r="S23" s="0" t="n">
        <v>1</v>
      </c>
      <c r="T23" s="0" t="s">
        <v>76</v>
      </c>
      <c r="U23" s="0" t="n">
        <v>3.98</v>
      </c>
      <c r="V23" s="0" t="n">
        <v>10.8</v>
      </c>
      <c r="W23" s="0" t="n">
        <v>85.9</v>
      </c>
      <c r="X23" s="0" t="n">
        <v>1.98</v>
      </c>
      <c r="Y23" s="0" t="n">
        <v>4.8</v>
      </c>
      <c r="Z23" s="0" t="n">
        <v>1.98</v>
      </c>
      <c r="AA23" s="0" t="n">
        <v>4.8</v>
      </c>
      <c r="AB23" s="0" t="s">
        <v>235</v>
      </c>
      <c r="AC23" s="0" t="n">
        <v>1</v>
      </c>
      <c r="AD23" s="0" t="s">
        <v>237</v>
      </c>
      <c r="AF23" s="0" t="s">
        <v>109</v>
      </c>
      <c r="AG23" s="0" t="n">
        <v>0</v>
      </c>
      <c r="AH23" s="0" t="n">
        <v>17</v>
      </c>
      <c r="AI23" s="0" t="s">
        <v>350</v>
      </c>
      <c r="AJ23" s="0" t="n">
        <v>8.17</v>
      </c>
      <c r="AK23" s="0" t="n">
        <v>2.17</v>
      </c>
    </row>
    <row r="24" customFormat="false" ht="15" hidden="false" customHeight="false" outlineLevel="0" collapsed="false">
      <c r="A24" s="0" t="s">
        <v>111</v>
      </c>
      <c r="B24" s="0" t="s">
        <v>257</v>
      </c>
      <c r="C24" s="0" t="s">
        <v>258</v>
      </c>
      <c r="D24" s="0" t="s">
        <v>447</v>
      </c>
      <c r="E24" s="0" t="s">
        <v>424</v>
      </c>
      <c r="F24" s="0" t="s">
        <v>188</v>
      </c>
      <c r="G24" s="0" t="s">
        <v>448</v>
      </c>
      <c r="H24" s="0" t="n">
        <v>4</v>
      </c>
      <c r="I24" s="0" t="n">
        <v>10</v>
      </c>
      <c r="J24" s="0" t="n">
        <v>-4</v>
      </c>
      <c r="K24" s="0" t="s">
        <v>258</v>
      </c>
      <c r="L24" s="0" t="s">
        <v>258</v>
      </c>
      <c r="M24" s="28" t="b">
        <f aca="false">FALSE()</f>
        <v>0</v>
      </c>
      <c r="U24" s="0" t="n">
        <v>2.23</v>
      </c>
      <c r="V24" s="0" t="n">
        <v>4.9</v>
      </c>
      <c r="W24" s="0" t="n">
        <v>40</v>
      </c>
      <c r="X24" s="0" t="n">
        <v>1.77</v>
      </c>
      <c r="Y24" s="0" t="n">
        <v>5.1</v>
      </c>
      <c r="Z24" s="0" t="n">
        <v>-1.77</v>
      </c>
      <c r="AA24" s="0" t="n">
        <v>-5.1</v>
      </c>
      <c r="AB24" s="0" t="s">
        <v>235</v>
      </c>
      <c r="AC24" s="0" t="n">
        <v>0</v>
      </c>
      <c r="AD24" s="0" t="s">
        <v>236</v>
      </c>
      <c r="AE24" s="0" t="n">
        <v>0</v>
      </c>
      <c r="AF24" s="0" t="s">
        <v>257</v>
      </c>
      <c r="AG24" s="0" t="n">
        <v>0</v>
      </c>
      <c r="AH24" s="0" t="n">
        <v>46</v>
      </c>
      <c r="AI24" s="0" t="s">
        <v>350</v>
      </c>
      <c r="AJ24" s="0" t="n">
        <v>8.75</v>
      </c>
      <c r="AK24" s="0" t="n">
        <v>1.25</v>
      </c>
    </row>
    <row r="25" customFormat="false" ht="15" hidden="false" customHeight="false" outlineLevel="0" collapsed="false">
      <c r="A25" s="0" t="s">
        <v>111</v>
      </c>
      <c r="B25" s="0" t="s">
        <v>112</v>
      </c>
      <c r="C25" s="0" t="s">
        <v>113</v>
      </c>
      <c r="D25" s="0" t="s">
        <v>449</v>
      </c>
      <c r="E25" s="0" t="s">
        <v>427</v>
      </c>
      <c r="F25" s="0" t="s">
        <v>415</v>
      </c>
      <c r="G25" s="0" t="s">
        <v>114</v>
      </c>
      <c r="H25" s="0" t="n">
        <v>3</v>
      </c>
      <c r="I25" s="0" t="n">
        <v>4</v>
      </c>
      <c r="J25" s="0" t="n">
        <v>0</v>
      </c>
      <c r="K25" s="0" t="s">
        <v>112</v>
      </c>
      <c r="L25" s="0" t="s">
        <v>241</v>
      </c>
      <c r="M25" s="28" t="b">
        <f aca="false">TRUE()</f>
        <v>1</v>
      </c>
      <c r="N25" s="0" t="s">
        <v>112</v>
      </c>
      <c r="O25" s="0" t="n">
        <v>3.81</v>
      </c>
      <c r="P25" s="0" t="n">
        <v>0</v>
      </c>
      <c r="Q25" s="0" t="n">
        <v>-3.81</v>
      </c>
      <c r="R25" s="0" t="n">
        <v>0</v>
      </c>
      <c r="S25" s="0" t="n">
        <v>0</v>
      </c>
      <c r="T25" s="0" t="s">
        <v>76</v>
      </c>
      <c r="U25" s="0" t="n">
        <v>2.13</v>
      </c>
      <c r="V25" s="0" t="n">
        <v>5.6</v>
      </c>
      <c r="W25" s="0" t="n">
        <v>40</v>
      </c>
      <c r="X25" s="0" t="n">
        <v>0.87</v>
      </c>
      <c r="Y25" s="0" t="n">
        <v>1.6</v>
      </c>
      <c r="Z25" s="0" t="n">
        <v>-0.87</v>
      </c>
      <c r="AA25" s="0" t="n">
        <v>1.6</v>
      </c>
      <c r="AB25" s="0" t="s">
        <v>235</v>
      </c>
      <c r="AC25" s="0" t="n">
        <v>1</v>
      </c>
      <c r="AD25" s="0" t="s">
        <v>236</v>
      </c>
      <c r="AE25" s="0" t="n">
        <v>1</v>
      </c>
      <c r="AF25" s="0" t="s">
        <v>112</v>
      </c>
      <c r="AG25" s="0" t="n">
        <v>1</v>
      </c>
      <c r="AH25" s="0" t="n">
        <v>57</v>
      </c>
      <c r="AI25" s="0" t="s">
        <v>351</v>
      </c>
      <c r="AJ25" s="0" t="n">
        <v>8.35</v>
      </c>
      <c r="AK25" s="0" t="n">
        <v>4.35</v>
      </c>
      <c r="AL25" s="0" t="s">
        <v>352</v>
      </c>
      <c r="AM25" s="0" t="s">
        <v>359</v>
      </c>
      <c r="AN25" s="0" t="n">
        <v>0</v>
      </c>
      <c r="AO25" s="0" t="n">
        <v>1</v>
      </c>
    </row>
    <row r="26" customFormat="false" ht="15" hidden="false" customHeight="false" outlineLevel="0" collapsed="false">
      <c r="A26" s="0" t="s">
        <v>111</v>
      </c>
      <c r="B26" s="0" t="s">
        <v>259</v>
      </c>
      <c r="C26" s="0" t="s">
        <v>260</v>
      </c>
      <c r="D26" s="0" t="s">
        <v>450</v>
      </c>
      <c r="E26" s="0" t="s">
        <v>429</v>
      </c>
      <c r="F26" s="0" t="s">
        <v>107</v>
      </c>
      <c r="G26" s="0" t="s">
        <v>96</v>
      </c>
      <c r="H26" s="0" t="n">
        <v>9</v>
      </c>
      <c r="I26" s="0" t="n">
        <v>13</v>
      </c>
      <c r="J26" s="0" t="n">
        <v>9</v>
      </c>
      <c r="K26" s="0" t="s">
        <v>241</v>
      </c>
      <c r="L26" s="0" t="s">
        <v>259</v>
      </c>
      <c r="M26" s="28" t="b">
        <f aca="false">FALSE()</f>
        <v>0</v>
      </c>
      <c r="U26" s="0" t="n">
        <v>4.02</v>
      </c>
      <c r="V26" s="0" t="n">
        <v>9.88</v>
      </c>
      <c r="W26" s="0" t="n">
        <v>44.4</v>
      </c>
      <c r="X26" s="0" t="n">
        <v>4.98</v>
      </c>
      <c r="Y26" s="0" t="n">
        <v>3.12</v>
      </c>
      <c r="Z26" s="0" t="n">
        <v>-4.98</v>
      </c>
      <c r="AA26" s="0" t="n">
        <v>-3.12</v>
      </c>
      <c r="AB26" s="0" t="s">
        <v>235</v>
      </c>
      <c r="AC26" s="0" t="n">
        <v>0</v>
      </c>
      <c r="AD26" s="0" t="s">
        <v>236</v>
      </c>
      <c r="AE26" s="0" t="n">
        <v>0</v>
      </c>
      <c r="AF26" s="0" t="s">
        <v>259</v>
      </c>
      <c r="AG26" s="0" t="n">
        <v>0</v>
      </c>
      <c r="AH26" s="0" t="n">
        <v>14</v>
      </c>
      <c r="AI26" s="0" t="s">
        <v>350</v>
      </c>
      <c r="AJ26" s="0" t="n">
        <v>10.95</v>
      </c>
      <c r="AK26" s="0" t="n">
        <v>2.05</v>
      </c>
    </row>
    <row r="27" customFormat="false" ht="15" hidden="false" customHeight="false" outlineLevel="0" collapsed="false">
      <c r="A27" s="0" t="s">
        <v>111</v>
      </c>
      <c r="B27" s="0" t="s">
        <v>115</v>
      </c>
      <c r="C27" s="0" t="s">
        <v>116</v>
      </c>
      <c r="D27" s="0" t="s">
        <v>451</v>
      </c>
      <c r="E27" s="0" t="s">
        <v>424</v>
      </c>
      <c r="F27" s="0" t="s">
        <v>429</v>
      </c>
      <c r="G27" s="0" t="s">
        <v>117</v>
      </c>
      <c r="H27" s="0" t="n">
        <v>0</v>
      </c>
      <c r="I27" s="0" t="n">
        <v>7</v>
      </c>
      <c r="J27" s="0" t="n">
        <v>3</v>
      </c>
      <c r="K27" s="0" t="s">
        <v>116</v>
      </c>
      <c r="L27" s="0" t="s">
        <v>115</v>
      </c>
      <c r="M27" s="28" t="b">
        <f aca="false">TRUE()</f>
        <v>1</v>
      </c>
      <c r="N27" s="0" t="s">
        <v>115</v>
      </c>
      <c r="O27" s="0" t="n">
        <v>3</v>
      </c>
      <c r="P27" s="0" t="n">
        <v>3</v>
      </c>
      <c r="Q27" s="0" t="n">
        <v>0</v>
      </c>
      <c r="R27" s="0" t="n">
        <v>1</v>
      </c>
      <c r="S27" s="0" t="n">
        <v>1</v>
      </c>
      <c r="T27" s="0" t="s">
        <v>76</v>
      </c>
      <c r="U27" s="0" t="n">
        <v>3.94</v>
      </c>
      <c r="V27" s="0" t="n">
        <v>5.95</v>
      </c>
      <c r="W27" s="0" t="n">
        <v>40</v>
      </c>
      <c r="X27" s="0" t="n">
        <v>3.94</v>
      </c>
      <c r="Y27" s="0" t="n">
        <v>1.05</v>
      </c>
      <c r="Z27" s="0" t="n">
        <v>3.94</v>
      </c>
      <c r="AA27" s="0" t="n">
        <v>-1.05</v>
      </c>
      <c r="AB27" s="0" t="s">
        <v>235</v>
      </c>
      <c r="AC27" s="0" t="n">
        <v>1</v>
      </c>
      <c r="AD27" s="0" t="s">
        <v>236</v>
      </c>
      <c r="AE27" s="0" t="n">
        <v>1</v>
      </c>
      <c r="AF27" s="0" t="s">
        <v>115</v>
      </c>
      <c r="AG27" s="0" t="n">
        <v>0</v>
      </c>
      <c r="AH27" s="0" t="n">
        <v>61</v>
      </c>
      <c r="AI27" s="0" t="s">
        <v>351</v>
      </c>
      <c r="AJ27" s="0" t="n">
        <v>4.93</v>
      </c>
      <c r="AK27" s="0" t="n">
        <v>2.07</v>
      </c>
      <c r="AL27" s="0" t="s">
        <v>352</v>
      </c>
      <c r="AM27" s="0" t="s">
        <v>357</v>
      </c>
      <c r="AN27" s="0" t="n">
        <v>1</v>
      </c>
      <c r="AO27" s="0" t="n">
        <v>0</v>
      </c>
    </row>
    <row r="28" customFormat="false" ht="15" hidden="false" customHeight="false" outlineLevel="0" collapsed="false">
      <c r="A28" s="0" t="s">
        <v>111</v>
      </c>
      <c r="B28" s="0" t="s">
        <v>118</v>
      </c>
      <c r="C28" s="0" t="s">
        <v>119</v>
      </c>
      <c r="D28" s="0" t="s">
        <v>452</v>
      </c>
      <c r="E28" s="0" t="s">
        <v>441</v>
      </c>
      <c r="F28" s="0" t="s">
        <v>415</v>
      </c>
      <c r="G28" s="0" t="s">
        <v>101</v>
      </c>
      <c r="H28" s="0" t="n">
        <v>3</v>
      </c>
      <c r="I28" s="0" t="n">
        <v>7</v>
      </c>
      <c r="J28" s="0" t="n">
        <v>1</v>
      </c>
      <c r="K28" s="0" t="s">
        <v>118</v>
      </c>
      <c r="L28" s="0" t="s">
        <v>118</v>
      </c>
      <c r="M28" s="28" t="b">
        <f aca="false">TRUE()</f>
        <v>1</v>
      </c>
      <c r="N28" s="0" t="s">
        <v>119</v>
      </c>
      <c r="O28" s="0" t="n">
        <v>3.56</v>
      </c>
      <c r="P28" s="0" t="n">
        <v>-1</v>
      </c>
      <c r="Q28" s="0" t="n">
        <v>-4.56</v>
      </c>
      <c r="R28" s="0" t="n">
        <v>0</v>
      </c>
      <c r="S28" s="0" t="n">
        <v>0</v>
      </c>
      <c r="T28" s="0" t="s">
        <v>76</v>
      </c>
      <c r="U28" s="0" t="n">
        <v>4.11</v>
      </c>
      <c r="V28" s="0" t="n">
        <v>6.4</v>
      </c>
      <c r="W28" s="0" t="n">
        <v>40</v>
      </c>
      <c r="X28" s="0" t="n">
        <v>1.11</v>
      </c>
      <c r="Y28" s="0" t="n">
        <v>0.6</v>
      </c>
      <c r="Z28" s="0" t="n">
        <v>1.11</v>
      </c>
      <c r="AA28" s="0" t="n">
        <v>-0.6</v>
      </c>
      <c r="AB28" s="0" t="s">
        <v>235</v>
      </c>
      <c r="AC28" s="0" t="n">
        <v>1</v>
      </c>
      <c r="AD28" s="0" t="s">
        <v>236</v>
      </c>
      <c r="AE28" s="0" t="n">
        <v>1</v>
      </c>
      <c r="AF28" s="0" t="s">
        <v>119</v>
      </c>
      <c r="AG28" s="0" t="n">
        <v>0</v>
      </c>
      <c r="AH28" s="0" t="n">
        <v>15</v>
      </c>
      <c r="AI28" s="0" t="s">
        <v>350</v>
      </c>
      <c r="AJ28" s="0" t="n">
        <v>8.2</v>
      </c>
      <c r="AK28" s="0" t="n">
        <v>1.2</v>
      </c>
    </row>
    <row r="29" customFormat="false" ht="15" hidden="false" customHeight="false" outlineLevel="0" collapsed="false">
      <c r="A29" s="0" t="s">
        <v>111</v>
      </c>
      <c r="B29" s="0" t="s">
        <v>261</v>
      </c>
      <c r="C29" s="0" t="s">
        <v>262</v>
      </c>
      <c r="D29" s="0" t="s">
        <v>453</v>
      </c>
      <c r="E29" s="0" t="s">
        <v>422</v>
      </c>
      <c r="F29" s="0" t="s">
        <v>122</v>
      </c>
      <c r="G29" s="0" t="s">
        <v>215</v>
      </c>
      <c r="H29" s="0" t="n">
        <v>6</v>
      </c>
      <c r="I29" s="0" t="n">
        <v>11</v>
      </c>
      <c r="J29" s="0" t="n">
        <v>5</v>
      </c>
      <c r="K29" s="0" t="s">
        <v>241</v>
      </c>
      <c r="L29" s="0" t="s">
        <v>261</v>
      </c>
      <c r="M29" s="28" t="b">
        <f aca="false">FALSE()</f>
        <v>0</v>
      </c>
      <c r="U29" s="0" t="n">
        <v>2.94</v>
      </c>
      <c r="V29" s="0" t="n">
        <v>5.78</v>
      </c>
      <c r="W29" s="0" t="n">
        <v>40</v>
      </c>
      <c r="X29" s="0" t="n">
        <v>3.06</v>
      </c>
      <c r="Y29" s="0" t="n">
        <v>5.22</v>
      </c>
      <c r="Z29" s="0" t="n">
        <v>-3.06</v>
      </c>
      <c r="AA29" s="0" t="n">
        <v>-5.22</v>
      </c>
      <c r="AB29" s="0" t="s">
        <v>235</v>
      </c>
      <c r="AC29" s="0" t="n">
        <v>0</v>
      </c>
      <c r="AD29" s="0" t="s">
        <v>236</v>
      </c>
      <c r="AE29" s="0" t="n">
        <v>0</v>
      </c>
      <c r="AF29" s="0" t="s">
        <v>262</v>
      </c>
      <c r="AG29" s="0" t="n">
        <v>0</v>
      </c>
      <c r="AH29" s="0" t="n">
        <v>26</v>
      </c>
      <c r="AI29" s="0" t="s">
        <v>350</v>
      </c>
      <c r="AJ29" s="0" t="n">
        <v>7.7</v>
      </c>
      <c r="AK29" s="0" t="n">
        <v>3.3</v>
      </c>
    </row>
    <row r="30" customFormat="false" ht="15" hidden="false" customHeight="false" outlineLevel="0" collapsed="false">
      <c r="A30" s="0" t="s">
        <v>111</v>
      </c>
      <c r="B30" s="0" t="s">
        <v>120</v>
      </c>
      <c r="C30" s="0" t="s">
        <v>121</v>
      </c>
      <c r="D30" s="0" t="s">
        <v>454</v>
      </c>
      <c r="E30" s="0" t="s">
        <v>418</v>
      </c>
      <c r="F30" s="0" t="s">
        <v>455</v>
      </c>
      <c r="G30" s="0" t="s">
        <v>122</v>
      </c>
      <c r="H30" s="0" t="n">
        <v>5</v>
      </c>
      <c r="I30" s="0" t="n">
        <v>6</v>
      </c>
      <c r="J30" s="0" t="n">
        <v>2</v>
      </c>
      <c r="K30" s="0" t="s">
        <v>121</v>
      </c>
      <c r="L30" s="0" t="s">
        <v>120</v>
      </c>
      <c r="M30" s="28" t="b">
        <f aca="false">TRUE()</f>
        <v>1</v>
      </c>
      <c r="N30" s="0" t="s">
        <v>121</v>
      </c>
      <c r="O30" s="0" t="n">
        <v>3.98</v>
      </c>
      <c r="P30" s="0" t="n">
        <v>-2</v>
      </c>
      <c r="Q30" s="0" t="n">
        <v>-5.98</v>
      </c>
      <c r="R30" s="0" t="n">
        <v>0</v>
      </c>
      <c r="S30" s="0" t="n">
        <v>0</v>
      </c>
      <c r="T30" s="0" t="s">
        <v>76</v>
      </c>
      <c r="U30" s="0" t="n">
        <v>4.84</v>
      </c>
      <c r="V30" s="0" t="n">
        <v>9.89</v>
      </c>
      <c r="W30" s="0" t="n">
        <v>43.4</v>
      </c>
      <c r="X30" s="0" t="n">
        <v>0.16</v>
      </c>
      <c r="Y30" s="0" t="n">
        <v>3.89</v>
      </c>
      <c r="Z30" s="0" t="n">
        <v>-0.16</v>
      </c>
      <c r="AA30" s="0" t="n">
        <v>3.89</v>
      </c>
      <c r="AB30" s="0" t="s">
        <v>237</v>
      </c>
      <c r="AD30" s="0" t="s">
        <v>236</v>
      </c>
      <c r="AE30" s="0" t="n">
        <v>1</v>
      </c>
      <c r="AF30" s="0" t="s">
        <v>121</v>
      </c>
      <c r="AG30" s="0" t="n">
        <v>1</v>
      </c>
      <c r="AH30" s="0" t="n">
        <v>14</v>
      </c>
      <c r="AI30" s="0" t="s">
        <v>350</v>
      </c>
      <c r="AJ30" s="0" t="n">
        <v>9.65</v>
      </c>
      <c r="AK30" s="0" t="n">
        <v>3.65</v>
      </c>
    </row>
    <row r="31" customFormat="false" ht="15" hidden="false" customHeight="false" outlineLevel="0" collapsed="false">
      <c r="A31" s="0" t="s">
        <v>111</v>
      </c>
      <c r="B31" s="0" t="s">
        <v>263</v>
      </c>
      <c r="C31" s="0" t="s">
        <v>264</v>
      </c>
      <c r="D31" s="0" t="s">
        <v>456</v>
      </c>
      <c r="E31" s="0" t="s">
        <v>429</v>
      </c>
      <c r="F31" s="0" t="s">
        <v>415</v>
      </c>
      <c r="G31" s="0" t="s">
        <v>117</v>
      </c>
      <c r="H31" s="0" t="n">
        <v>3</v>
      </c>
      <c r="I31" s="0" t="n">
        <v>7</v>
      </c>
      <c r="J31" s="0" t="n">
        <v>3</v>
      </c>
      <c r="K31" s="0" t="s">
        <v>241</v>
      </c>
      <c r="L31" s="0" t="s">
        <v>263</v>
      </c>
      <c r="M31" s="28" t="b">
        <f aca="false">FALSE()</f>
        <v>0</v>
      </c>
      <c r="U31" s="0" t="n">
        <v>4.34</v>
      </c>
      <c r="V31" s="0" t="n">
        <v>8.13</v>
      </c>
      <c r="W31" s="0" t="n">
        <v>40</v>
      </c>
      <c r="X31" s="0" t="n">
        <v>1.34</v>
      </c>
      <c r="Y31" s="0" t="n">
        <v>1.13</v>
      </c>
      <c r="Z31" s="0" t="n">
        <v>1.34</v>
      </c>
      <c r="AA31" s="0" t="n">
        <v>1.13</v>
      </c>
      <c r="AB31" s="0" t="s">
        <v>237</v>
      </c>
      <c r="AD31" s="0" t="s">
        <v>236</v>
      </c>
      <c r="AE31" s="0" t="n">
        <v>1</v>
      </c>
      <c r="AF31" s="0" t="s">
        <v>264</v>
      </c>
      <c r="AG31" s="0" t="n">
        <v>0</v>
      </c>
      <c r="AH31" s="0" t="n">
        <v>17</v>
      </c>
      <c r="AI31" s="0" t="s">
        <v>350</v>
      </c>
      <c r="AJ31" s="0" t="n">
        <v>12.45</v>
      </c>
      <c r="AK31" s="0" t="n">
        <v>5.45</v>
      </c>
    </row>
    <row r="32" customFormat="false" ht="15" hidden="false" customHeight="false" outlineLevel="0" collapsed="false">
      <c r="A32" s="0" t="s">
        <v>111</v>
      </c>
      <c r="B32" s="0" t="s">
        <v>265</v>
      </c>
      <c r="C32" s="0" t="s">
        <v>266</v>
      </c>
      <c r="D32" s="0" t="s">
        <v>457</v>
      </c>
      <c r="E32" s="0" t="s">
        <v>415</v>
      </c>
      <c r="F32" s="0" t="s">
        <v>415</v>
      </c>
      <c r="G32" s="0" t="s">
        <v>434</v>
      </c>
      <c r="H32" s="0" t="n">
        <v>3</v>
      </c>
      <c r="I32" s="0" t="n">
        <v>6</v>
      </c>
      <c r="J32" s="0" t="n">
        <v>4</v>
      </c>
      <c r="K32" s="0" t="s">
        <v>265</v>
      </c>
      <c r="L32" s="0" t="s">
        <v>265</v>
      </c>
      <c r="M32" s="28" t="b">
        <f aca="false">FALSE()</f>
        <v>0</v>
      </c>
      <c r="U32" s="0" t="n">
        <v>2.12</v>
      </c>
      <c r="V32" s="0" t="n">
        <v>5.25</v>
      </c>
      <c r="W32" s="0" t="n">
        <v>40</v>
      </c>
      <c r="X32" s="0" t="n">
        <v>0.88</v>
      </c>
      <c r="Y32" s="0" t="n">
        <v>0.75</v>
      </c>
      <c r="Z32" s="0" t="n">
        <v>-0.88</v>
      </c>
      <c r="AA32" s="0" t="n">
        <v>-0.75</v>
      </c>
      <c r="AB32" s="0" t="s">
        <v>235</v>
      </c>
      <c r="AC32" s="0" t="n">
        <v>1</v>
      </c>
      <c r="AD32" s="0" t="s">
        <v>236</v>
      </c>
      <c r="AE32" s="0" t="n">
        <v>1</v>
      </c>
      <c r="AF32" s="0" t="s">
        <v>265</v>
      </c>
      <c r="AG32" s="0" t="n">
        <v>1</v>
      </c>
      <c r="AH32" s="0" t="n">
        <v>45</v>
      </c>
      <c r="AI32" s="0" t="s">
        <v>350</v>
      </c>
      <c r="AJ32" s="0" t="n">
        <v>5.3</v>
      </c>
      <c r="AK32" s="0" t="n">
        <v>0.7</v>
      </c>
    </row>
    <row r="33" customFormat="false" ht="15" hidden="false" customHeight="false" outlineLevel="0" collapsed="false">
      <c r="A33" s="0" t="s">
        <v>111</v>
      </c>
      <c r="B33" s="0" t="s">
        <v>267</v>
      </c>
      <c r="C33" s="0" t="s">
        <v>268</v>
      </c>
      <c r="D33" s="0" t="s">
        <v>458</v>
      </c>
      <c r="E33" s="0" t="s">
        <v>441</v>
      </c>
      <c r="F33" s="0" t="s">
        <v>125</v>
      </c>
      <c r="G33" s="0" t="s">
        <v>459</v>
      </c>
      <c r="H33" s="0" t="n">
        <v>7</v>
      </c>
      <c r="I33" s="0" t="n">
        <v>16</v>
      </c>
      <c r="J33" s="0" t="n">
        <v>4</v>
      </c>
      <c r="K33" s="0" t="s">
        <v>267</v>
      </c>
      <c r="L33" s="0" t="s">
        <v>267</v>
      </c>
      <c r="M33" s="28" t="b">
        <f aca="false">FALSE()</f>
        <v>0</v>
      </c>
      <c r="U33" s="0" t="n">
        <v>3.38</v>
      </c>
      <c r="V33" s="0" t="n">
        <v>8.23</v>
      </c>
      <c r="W33" s="0" t="n">
        <v>40</v>
      </c>
      <c r="X33" s="0" t="n">
        <v>3.62</v>
      </c>
      <c r="Y33" s="0" t="n">
        <v>7.77</v>
      </c>
      <c r="Z33" s="0" t="n">
        <v>-3.62</v>
      </c>
      <c r="AA33" s="0" t="n">
        <v>-7.77</v>
      </c>
      <c r="AB33" s="0" t="s">
        <v>235</v>
      </c>
      <c r="AC33" s="0" t="n">
        <v>0</v>
      </c>
      <c r="AD33" s="0" t="s">
        <v>236</v>
      </c>
      <c r="AE33" s="0" t="n">
        <v>0</v>
      </c>
      <c r="AF33" s="0" t="s">
        <v>268</v>
      </c>
      <c r="AG33" s="0" t="n">
        <v>0</v>
      </c>
      <c r="AH33" s="0" t="n">
        <v>37</v>
      </c>
      <c r="AI33" s="0" t="s">
        <v>350</v>
      </c>
      <c r="AJ33" s="0" t="n">
        <v>9.4</v>
      </c>
      <c r="AK33" s="0" t="n">
        <v>6.6</v>
      </c>
    </row>
    <row r="34" customFormat="false" ht="15" hidden="false" customHeight="false" outlineLevel="0" collapsed="false">
      <c r="A34" s="0" t="s">
        <v>111</v>
      </c>
      <c r="B34" s="0" t="s">
        <v>123</v>
      </c>
      <c r="C34" s="0" t="s">
        <v>124</v>
      </c>
      <c r="D34" s="0" t="s">
        <v>460</v>
      </c>
      <c r="E34" s="0" t="s">
        <v>415</v>
      </c>
      <c r="F34" s="0" t="s">
        <v>444</v>
      </c>
      <c r="G34" s="0" t="s">
        <v>125</v>
      </c>
      <c r="H34" s="0" t="n">
        <v>6</v>
      </c>
      <c r="I34" s="0" t="n">
        <v>7</v>
      </c>
      <c r="J34" s="0" t="n">
        <v>5</v>
      </c>
      <c r="K34" s="0" t="s">
        <v>123</v>
      </c>
      <c r="L34" s="0" t="s">
        <v>123</v>
      </c>
      <c r="M34" s="28" t="b">
        <f aca="false">TRUE()</f>
        <v>1</v>
      </c>
      <c r="N34" s="0" t="s">
        <v>123</v>
      </c>
      <c r="O34" s="0" t="n">
        <v>4.41</v>
      </c>
      <c r="P34" s="0" t="n">
        <v>5</v>
      </c>
      <c r="Q34" s="0" t="n">
        <v>0.59</v>
      </c>
      <c r="R34" s="0" t="n">
        <v>1</v>
      </c>
      <c r="S34" s="0" t="n">
        <v>1</v>
      </c>
      <c r="T34" s="0" t="s">
        <v>76</v>
      </c>
      <c r="U34" s="0" t="n">
        <v>4.81</v>
      </c>
      <c r="V34" s="0" t="n">
        <v>9.5</v>
      </c>
      <c r="W34" s="0" t="n">
        <v>44.4</v>
      </c>
      <c r="X34" s="0" t="n">
        <v>1.19</v>
      </c>
      <c r="Y34" s="0" t="n">
        <v>2.5</v>
      </c>
      <c r="Z34" s="0" t="n">
        <v>-1.19</v>
      </c>
      <c r="AA34" s="0" t="n">
        <v>2.5</v>
      </c>
      <c r="AB34" s="0" t="s">
        <v>237</v>
      </c>
      <c r="AD34" s="0" t="s">
        <v>236</v>
      </c>
      <c r="AE34" s="0" t="n">
        <v>1</v>
      </c>
      <c r="AF34" s="0" t="s">
        <v>123</v>
      </c>
      <c r="AG34" s="0" t="n">
        <v>1</v>
      </c>
      <c r="AH34" s="0" t="n">
        <v>50</v>
      </c>
      <c r="AI34" s="0" t="s">
        <v>351</v>
      </c>
      <c r="AJ34" s="0" t="n">
        <v>7.5</v>
      </c>
      <c r="AK34" s="0" t="n">
        <v>0.5</v>
      </c>
      <c r="AL34" s="0" t="s">
        <v>352</v>
      </c>
      <c r="AM34" s="0" t="s">
        <v>360</v>
      </c>
      <c r="AN34" s="0" t="n">
        <v>1</v>
      </c>
      <c r="AO34" s="0" t="n">
        <v>1</v>
      </c>
    </row>
    <row r="35" customFormat="false" ht="15" hidden="false" customHeight="false" outlineLevel="0" collapsed="false">
      <c r="A35" s="0" t="s">
        <v>111</v>
      </c>
      <c r="B35" s="0" t="s">
        <v>126</v>
      </c>
      <c r="C35" s="0" t="s">
        <v>127</v>
      </c>
      <c r="D35" s="0" t="s">
        <v>461</v>
      </c>
      <c r="E35" s="0" t="s">
        <v>424</v>
      </c>
      <c r="F35" s="0" t="s">
        <v>407</v>
      </c>
      <c r="G35" s="0" t="s">
        <v>128</v>
      </c>
      <c r="H35" s="0" t="n">
        <v>4</v>
      </c>
      <c r="I35" s="0" t="n">
        <v>8</v>
      </c>
      <c r="J35" s="0" t="n">
        <v>8</v>
      </c>
      <c r="K35" s="0" t="s">
        <v>127</v>
      </c>
      <c r="L35" s="0" t="s">
        <v>126</v>
      </c>
      <c r="M35" s="28" t="b">
        <f aca="false">TRUE()</f>
        <v>1</v>
      </c>
      <c r="N35" s="0" t="s">
        <v>126</v>
      </c>
      <c r="O35" s="0" t="n">
        <v>8.13</v>
      </c>
      <c r="P35" s="0" t="n">
        <v>8</v>
      </c>
      <c r="Q35" s="0" t="n">
        <v>-0.130000000000001</v>
      </c>
      <c r="R35" s="0" t="n">
        <v>0</v>
      </c>
      <c r="S35" s="0" t="n">
        <v>1</v>
      </c>
      <c r="T35" s="0" t="s">
        <v>76</v>
      </c>
      <c r="U35" s="0" t="n">
        <v>4.86</v>
      </c>
      <c r="V35" s="0" t="n">
        <v>9.33</v>
      </c>
      <c r="W35" s="0" t="n">
        <v>40</v>
      </c>
      <c r="X35" s="0" t="n">
        <v>0.86</v>
      </c>
      <c r="Y35" s="0" t="n">
        <v>1.33</v>
      </c>
      <c r="Z35" s="0" t="n">
        <v>0.86</v>
      </c>
      <c r="AA35" s="0" t="n">
        <v>1.33</v>
      </c>
      <c r="AB35" s="0" t="s">
        <v>237</v>
      </c>
      <c r="AD35" s="0" t="s">
        <v>236</v>
      </c>
      <c r="AE35" s="0" t="n">
        <v>1</v>
      </c>
      <c r="AF35" s="0" t="s">
        <v>126</v>
      </c>
      <c r="AG35" s="0" t="n">
        <v>0</v>
      </c>
      <c r="AH35" s="0" t="n">
        <v>91</v>
      </c>
      <c r="AI35" s="0" t="s">
        <v>354</v>
      </c>
      <c r="AJ35" s="0" t="n">
        <v>12.27</v>
      </c>
      <c r="AK35" s="0" t="n">
        <v>4.27</v>
      </c>
      <c r="AL35" s="0" t="s">
        <v>355</v>
      </c>
      <c r="AM35" s="0" t="s">
        <v>360</v>
      </c>
      <c r="AN35" s="0" t="n">
        <v>1</v>
      </c>
      <c r="AO35" s="0" t="n">
        <v>0</v>
      </c>
    </row>
    <row r="36" customFormat="false" ht="15" hidden="false" customHeight="false" outlineLevel="0" collapsed="false">
      <c r="A36" s="0" t="s">
        <v>111</v>
      </c>
      <c r="B36" s="0" t="s">
        <v>129</v>
      </c>
      <c r="C36" s="0" t="s">
        <v>130</v>
      </c>
      <c r="D36" s="0" t="s">
        <v>462</v>
      </c>
      <c r="E36" s="0" t="s">
        <v>429</v>
      </c>
      <c r="F36" s="0" t="s">
        <v>415</v>
      </c>
      <c r="G36" s="0" t="s">
        <v>131</v>
      </c>
      <c r="H36" s="0" t="n">
        <v>3</v>
      </c>
      <c r="I36" s="0" t="n">
        <v>7</v>
      </c>
      <c r="J36" s="0" t="n">
        <v>-1</v>
      </c>
      <c r="K36" s="0" t="s">
        <v>241</v>
      </c>
      <c r="L36" s="0" t="s">
        <v>130</v>
      </c>
      <c r="M36" s="28" t="b">
        <f aca="false">TRUE()</f>
        <v>1</v>
      </c>
      <c r="N36" s="0" t="s">
        <v>130</v>
      </c>
      <c r="O36" s="0" t="n">
        <v>5.6</v>
      </c>
      <c r="P36" s="0" t="n">
        <v>1</v>
      </c>
      <c r="Q36" s="0" t="n">
        <v>-4.6</v>
      </c>
      <c r="R36" s="0" t="n">
        <v>0</v>
      </c>
      <c r="S36" s="0" t="n">
        <v>1</v>
      </c>
      <c r="T36" s="0" t="s">
        <v>76</v>
      </c>
      <c r="U36" s="0" t="n">
        <v>3.97</v>
      </c>
      <c r="V36" s="0" t="n">
        <v>7.13</v>
      </c>
      <c r="W36" s="0" t="n">
        <v>40.4</v>
      </c>
      <c r="X36" s="0" t="n">
        <v>0.97</v>
      </c>
      <c r="Y36" s="0" t="n">
        <v>0.13</v>
      </c>
      <c r="Z36" s="0" t="n">
        <v>0.97</v>
      </c>
      <c r="AA36" s="0" t="n">
        <v>0.13</v>
      </c>
      <c r="AB36" s="0" t="s">
        <v>235</v>
      </c>
      <c r="AC36" s="0" t="n">
        <v>1</v>
      </c>
      <c r="AD36" s="0" t="s">
        <v>236</v>
      </c>
      <c r="AE36" s="0" t="n">
        <v>1</v>
      </c>
      <c r="AF36" s="0" t="s">
        <v>130</v>
      </c>
      <c r="AG36" s="0" t="n">
        <v>0</v>
      </c>
      <c r="AH36" s="0" t="n">
        <v>6</v>
      </c>
      <c r="AI36" s="0" t="s">
        <v>350</v>
      </c>
      <c r="AJ36" s="0" t="n">
        <v>6.9</v>
      </c>
      <c r="AK36" s="0" t="n">
        <v>0.0999999999999996</v>
      </c>
    </row>
    <row r="37" customFormat="false" ht="15" hidden="false" customHeight="false" outlineLevel="0" collapsed="false">
      <c r="A37" s="0" t="s">
        <v>111</v>
      </c>
      <c r="B37" s="0" t="s">
        <v>269</v>
      </c>
      <c r="C37" s="0" t="s">
        <v>270</v>
      </c>
      <c r="D37" s="0" t="s">
        <v>463</v>
      </c>
      <c r="E37" s="0" t="s">
        <v>441</v>
      </c>
      <c r="F37" s="0" t="s">
        <v>415</v>
      </c>
      <c r="G37" s="0" t="s">
        <v>455</v>
      </c>
      <c r="H37" s="0" t="n">
        <v>3</v>
      </c>
      <c r="I37" s="0" t="n">
        <v>5</v>
      </c>
      <c r="J37" s="0" t="n">
        <v>3</v>
      </c>
      <c r="K37" s="0" t="s">
        <v>269</v>
      </c>
      <c r="L37" s="0" t="s">
        <v>269</v>
      </c>
      <c r="M37" s="28" t="b">
        <f aca="false">FALSE()</f>
        <v>0</v>
      </c>
      <c r="U37" s="0" t="n">
        <v>2.26</v>
      </c>
      <c r="V37" s="0" t="n">
        <v>7.2</v>
      </c>
      <c r="W37" s="0" t="n">
        <v>40</v>
      </c>
      <c r="X37" s="0" t="n">
        <v>0.74</v>
      </c>
      <c r="Y37" s="0" t="n">
        <v>2.2</v>
      </c>
      <c r="Z37" s="0" t="n">
        <v>-0.74</v>
      </c>
      <c r="AA37" s="0" t="n">
        <v>2.2</v>
      </c>
      <c r="AB37" s="0" t="s">
        <v>235</v>
      </c>
      <c r="AC37" s="0" t="n">
        <v>1</v>
      </c>
      <c r="AD37" s="0" t="s">
        <v>236</v>
      </c>
      <c r="AE37" s="0" t="n">
        <v>1</v>
      </c>
      <c r="AF37" s="0" t="s">
        <v>270</v>
      </c>
      <c r="AG37" s="0" t="n">
        <v>0</v>
      </c>
      <c r="AH37" s="0" t="n">
        <v>43</v>
      </c>
      <c r="AI37" s="0" t="s">
        <v>350</v>
      </c>
      <c r="AJ37" s="0" t="n">
        <v>9.4</v>
      </c>
      <c r="AK37" s="0" t="n">
        <v>4.4</v>
      </c>
    </row>
    <row r="38" customFormat="false" ht="15" hidden="false" customHeight="false" outlineLevel="0" collapsed="false">
      <c r="A38" s="0" t="s">
        <v>111</v>
      </c>
      <c r="B38" s="0" t="s">
        <v>132</v>
      </c>
      <c r="C38" s="0" t="s">
        <v>133</v>
      </c>
      <c r="D38" s="0" t="s">
        <v>464</v>
      </c>
      <c r="E38" s="0" t="s">
        <v>418</v>
      </c>
      <c r="F38" s="0" t="s">
        <v>117</v>
      </c>
      <c r="G38" s="0" t="s">
        <v>134</v>
      </c>
      <c r="H38" s="0" t="n">
        <v>7</v>
      </c>
      <c r="I38" s="0" t="n">
        <v>15</v>
      </c>
      <c r="J38" s="0" t="n">
        <v>7</v>
      </c>
      <c r="K38" s="0" t="s">
        <v>133</v>
      </c>
      <c r="L38" s="0" t="s">
        <v>132</v>
      </c>
      <c r="M38" s="28" t="b">
        <f aca="false">TRUE()</f>
        <v>1</v>
      </c>
      <c r="N38" s="0" t="s">
        <v>132</v>
      </c>
      <c r="O38" s="0" t="n">
        <v>2.52</v>
      </c>
      <c r="P38" s="0" t="n">
        <v>7</v>
      </c>
      <c r="Q38" s="0" t="n">
        <v>4.48</v>
      </c>
      <c r="R38" s="0" t="n">
        <v>1</v>
      </c>
      <c r="S38" s="0" t="n">
        <v>1</v>
      </c>
      <c r="T38" s="0" t="s">
        <v>76</v>
      </c>
      <c r="U38" s="0" t="n">
        <v>3.6</v>
      </c>
      <c r="V38" s="0" t="n">
        <v>6.15</v>
      </c>
      <c r="W38" s="0" t="n">
        <v>40</v>
      </c>
      <c r="X38" s="0" t="n">
        <v>3.4</v>
      </c>
      <c r="Y38" s="0" t="n">
        <v>8.85</v>
      </c>
      <c r="Z38" s="0" t="n">
        <v>-3.4</v>
      </c>
      <c r="AA38" s="0" t="n">
        <v>-8.85</v>
      </c>
      <c r="AB38" s="0" t="s">
        <v>235</v>
      </c>
      <c r="AC38" s="0" t="n">
        <v>0</v>
      </c>
      <c r="AD38" s="0" t="s">
        <v>236</v>
      </c>
      <c r="AE38" s="0" t="n">
        <v>0</v>
      </c>
      <c r="AF38" s="0" t="s">
        <v>132</v>
      </c>
      <c r="AG38" s="0" t="n">
        <v>0</v>
      </c>
      <c r="AH38" s="0" t="n">
        <v>79</v>
      </c>
      <c r="AI38" s="0" t="s">
        <v>354</v>
      </c>
      <c r="AJ38" s="0" t="n">
        <v>6.33</v>
      </c>
      <c r="AK38" s="0" t="n">
        <v>8.67</v>
      </c>
      <c r="AL38" s="0" t="s">
        <v>355</v>
      </c>
      <c r="AM38" s="0" t="s">
        <v>357</v>
      </c>
      <c r="AN38" s="0" t="n">
        <v>1</v>
      </c>
      <c r="AO38" s="0" t="n">
        <v>1</v>
      </c>
    </row>
    <row r="39" customFormat="false" ht="15" hidden="false" customHeight="false" outlineLevel="0" collapsed="false">
      <c r="A39" s="0" t="s">
        <v>111</v>
      </c>
      <c r="B39" s="0" t="s">
        <v>271</v>
      </c>
      <c r="C39" s="0" t="s">
        <v>272</v>
      </c>
      <c r="D39" s="0" t="s">
        <v>465</v>
      </c>
      <c r="E39" s="0" t="s">
        <v>441</v>
      </c>
      <c r="F39" s="0" t="s">
        <v>418</v>
      </c>
      <c r="G39" s="0" t="s">
        <v>466</v>
      </c>
      <c r="H39" s="0" t="n">
        <v>2</v>
      </c>
      <c r="I39" s="0" t="n">
        <v>7</v>
      </c>
      <c r="J39" s="0" t="n">
        <v>-3</v>
      </c>
      <c r="K39" s="0" t="s">
        <v>271</v>
      </c>
      <c r="L39" s="0" t="s">
        <v>272</v>
      </c>
      <c r="M39" s="28" t="b">
        <f aca="false">FALSE()</f>
        <v>0</v>
      </c>
      <c r="U39" s="0" t="n">
        <v>1.77</v>
      </c>
      <c r="V39" s="0" t="n">
        <v>3.97</v>
      </c>
      <c r="W39" s="0" t="n">
        <v>40</v>
      </c>
      <c r="X39" s="0" t="n">
        <v>0.23</v>
      </c>
      <c r="Y39" s="0" t="n">
        <v>3.03</v>
      </c>
      <c r="Z39" s="0" t="n">
        <v>-0.23</v>
      </c>
      <c r="AA39" s="0" t="n">
        <v>-3.03</v>
      </c>
      <c r="AB39" s="0" t="s">
        <v>235</v>
      </c>
      <c r="AC39" s="0" t="n">
        <v>1</v>
      </c>
      <c r="AD39" s="0" t="s">
        <v>236</v>
      </c>
      <c r="AE39" s="0" t="n">
        <v>1</v>
      </c>
      <c r="AF39" s="0" t="s">
        <v>272</v>
      </c>
      <c r="AG39" s="0" t="n">
        <v>0</v>
      </c>
      <c r="AH39" s="0" t="n">
        <v>20</v>
      </c>
      <c r="AI39" s="0" t="s">
        <v>350</v>
      </c>
      <c r="AJ39" s="0" t="n">
        <v>9.55</v>
      </c>
      <c r="AK39" s="0" t="n">
        <v>2.55</v>
      </c>
    </row>
    <row r="40" customFormat="false" ht="15" hidden="false" customHeight="false" outlineLevel="0" collapsed="false">
      <c r="A40" s="0" t="s">
        <v>111</v>
      </c>
      <c r="B40" s="0" t="s">
        <v>273</v>
      </c>
      <c r="C40" s="0" t="s">
        <v>274</v>
      </c>
      <c r="D40" s="0" t="s">
        <v>467</v>
      </c>
      <c r="E40" s="0" t="s">
        <v>429</v>
      </c>
      <c r="F40" s="0" t="s">
        <v>427</v>
      </c>
      <c r="G40" s="0" t="s">
        <v>125</v>
      </c>
      <c r="H40" s="0" t="n">
        <v>2</v>
      </c>
      <c r="I40" s="0" t="n">
        <v>7</v>
      </c>
      <c r="J40" s="0" t="n">
        <v>5</v>
      </c>
      <c r="K40" s="0" t="s">
        <v>241</v>
      </c>
      <c r="L40" s="0" t="s">
        <v>273</v>
      </c>
      <c r="M40" s="28" t="b">
        <f aca="false">FALSE()</f>
        <v>0</v>
      </c>
      <c r="U40" s="0" t="n">
        <v>4.2</v>
      </c>
      <c r="V40" s="0" t="n">
        <v>8.18</v>
      </c>
      <c r="W40" s="0" t="n">
        <v>44.4</v>
      </c>
      <c r="X40" s="0" t="n">
        <v>2.2</v>
      </c>
      <c r="Y40" s="0" t="n">
        <v>1.18</v>
      </c>
      <c r="Z40" s="0" t="n">
        <v>2.2</v>
      </c>
      <c r="AA40" s="0" t="n">
        <v>1.18</v>
      </c>
      <c r="AB40" s="0" t="s">
        <v>235</v>
      </c>
      <c r="AC40" s="0" t="n">
        <v>1</v>
      </c>
      <c r="AD40" s="0" t="s">
        <v>236</v>
      </c>
      <c r="AE40" s="0" t="n">
        <v>1</v>
      </c>
      <c r="AF40" s="0" t="s">
        <v>274</v>
      </c>
      <c r="AG40" s="0" t="n">
        <v>0</v>
      </c>
      <c r="AH40" s="0" t="n">
        <v>15</v>
      </c>
      <c r="AI40" s="0" t="s">
        <v>350</v>
      </c>
      <c r="AJ40" s="0" t="n">
        <v>7.07</v>
      </c>
      <c r="AK40" s="0" t="n">
        <v>0.0700000000000003</v>
      </c>
    </row>
    <row r="41" customFormat="false" ht="15" hidden="false" customHeight="false" outlineLevel="0" collapsed="false">
      <c r="A41" s="0" t="s">
        <v>111</v>
      </c>
      <c r="B41" s="0" t="s">
        <v>275</v>
      </c>
      <c r="C41" s="0" t="s">
        <v>276</v>
      </c>
      <c r="D41" s="0" t="s">
        <v>468</v>
      </c>
      <c r="E41" s="0" t="s">
        <v>415</v>
      </c>
      <c r="F41" s="0" t="s">
        <v>131</v>
      </c>
      <c r="G41" s="0" t="s">
        <v>469</v>
      </c>
      <c r="H41" s="0" t="n">
        <v>7</v>
      </c>
      <c r="I41" s="0" t="n">
        <v>13</v>
      </c>
      <c r="J41" s="0" t="n">
        <v>3</v>
      </c>
      <c r="K41" s="0" t="s">
        <v>275</v>
      </c>
      <c r="L41" s="0" t="s">
        <v>275</v>
      </c>
      <c r="M41" s="28" t="b">
        <f aca="false">FALSE()</f>
        <v>0</v>
      </c>
      <c r="U41" s="0" t="n">
        <v>3.51</v>
      </c>
      <c r="V41" s="0" t="n">
        <v>7.13</v>
      </c>
      <c r="W41" s="0" t="n">
        <v>40</v>
      </c>
      <c r="X41" s="0" t="n">
        <v>3.49</v>
      </c>
      <c r="Y41" s="0" t="n">
        <v>5.87</v>
      </c>
      <c r="Z41" s="0" t="n">
        <v>-3.49</v>
      </c>
      <c r="AA41" s="0" t="n">
        <v>-5.87</v>
      </c>
      <c r="AB41" s="0" t="s">
        <v>235</v>
      </c>
      <c r="AC41" s="0" t="n">
        <v>0</v>
      </c>
      <c r="AD41" s="0" t="s">
        <v>236</v>
      </c>
      <c r="AE41" s="0" t="n">
        <v>0</v>
      </c>
      <c r="AF41" s="0" t="s">
        <v>275</v>
      </c>
      <c r="AG41" s="0" t="n">
        <v>1</v>
      </c>
      <c r="AH41" s="0" t="n">
        <v>34</v>
      </c>
      <c r="AI41" s="0" t="s">
        <v>350</v>
      </c>
      <c r="AJ41" s="0" t="n">
        <v>7.67</v>
      </c>
      <c r="AK41" s="0" t="n">
        <v>5.33</v>
      </c>
    </row>
    <row r="42" customFormat="false" ht="15" hidden="false" customHeight="false" outlineLevel="0" collapsed="false">
      <c r="A42" s="0" t="s">
        <v>135</v>
      </c>
      <c r="B42" s="0" t="s">
        <v>277</v>
      </c>
      <c r="C42" s="0" t="s">
        <v>278</v>
      </c>
      <c r="D42" s="0" t="s">
        <v>470</v>
      </c>
      <c r="E42" s="0" t="s">
        <v>443</v>
      </c>
      <c r="F42" s="0" t="s">
        <v>413</v>
      </c>
      <c r="G42" s="0" t="s">
        <v>159</v>
      </c>
      <c r="H42" s="0" t="n">
        <v>6</v>
      </c>
      <c r="I42" s="0" t="n">
        <v>8</v>
      </c>
      <c r="J42" s="0" t="n">
        <v>0</v>
      </c>
      <c r="K42" s="0" t="s">
        <v>277</v>
      </c>
      <c r="L42" s="0" t="s">
        <v>241</v>
      </c>
      <c r="M42" s="28" t="b">
        <f aca="false">FALSE()</f>
        <v>0</v>
      </c>
      <c r="U42" s="0" t="n">
        <v>5.27</v>
      </c>
      <c r="V42" s="0" t="n">
        <v>9.4</v>
      </c>
      <c r="W42" s="0" t="n">
        <v>63.4</v>
      </c>
      <c r="X42" s="0" t="n">
        <v>0.73</v>
      </c>
      <c r="Y42" s="0" t="n">
        <v>1.4</v>
      </c>
      <c r="Z42" s="0" t="n">
        <v>-0.73</v>
      </c>
      <c r="AA42" s="0" t="n">
        <v>1.4</v>
      </c>
      <c r="AB42" s="0" t="s">
        <v>233</v>
      </c>
      <c r="AC42" s="0" t="n">
        <v>1</v>
      </c>
      <c r="AD42" s="0" t="s">
        <v>236</v>
      </c>
      <c r="AE42" s="0" t="n">
        <v>1</v>
      </c>
      <c r="AF42" s="0" t="s">
        <v>277</v>
      </c>
      <c r="AG42" s="0" t="n">
        <v>1</v>
      </c>
      <c r="AH42" s="0" t="n">
        <v>58</v>
      </c>
      <c r="AI42" s="0" t="s">
        <v>351</v>
      </c>
      <c r="AJ42" s="0" t="n">
        <v>9.3</v>
      </c>
      <c r="AK42" s="0" t="n">
        <v>1.3</v>
      </c>
      <c r="AL42" s="0" t="s">
        <v>352</v>
      </c>
      <c r="AM42" s="0" t="s">
        <v>356</v>
      </c>
      <c r="AN42" s="0" t="n">
        <v>0</v>
      </c>
      <c r="AO42" s="0" t="n">
        <v>1</v>
      </c>
    </row>
    <row r="43" customFormat="false" ht="15" hidden="false" customHeight="false" outlineLevel="0" collapsed="false">
      <c r="A43" s="0" t="s">
        <v>135</v>
      </c>
      <c r="B43" s="0" t="s">
        <v>279</v>
      </c>
      <c r="C43" s="0" t="s">
        <v>280</v>
      </c>
      <c r="D43" s="0" t="s">
        <v>471</v>
      </c>
      <c r="E43" s="0" t="s">
        <v>93</v>
      </c>
      <c r="F43" s="0" t="s">
        <v>434</v>
      </c>
      <c r="G43" s="0" t="s">
        <v>107</v>
      </c>
      <c r="H43" s="0" t="n">
        <v>6</v>
      </c>
      <c r="I43" s="0" t="n">
        <v>9</v>
      </c>
      <c r="J43" s="0" t="n">
        <v>7</v>
      </c>
      <c r="K43" s="0" t="s">
        <v>280</v>
      </c>
      <c r="L43" s="0" t="s">
        <v>279</v>
      </c>
      <c r="M43" s="28" t="b">
        <f aca="false">FALSE()</f>
        <v>0</v>
      </c>
      <c r="U43" s="0" t="n">
        <v>3.51</v>
      </c>
      <c r="V43" s="0" t="n">
        <v>8.84</v>
      </c>
      <c r="W43" s="0" t="n">
        <v>60.7</v>
      </c>
      <c r="X43" s="0" t="n">
        <v>2.49</v>
      </c>
      <c r="Y43" s="0" t="n">
        <v>0.16</v>
      </c>
      <c r="Z43" s="0" t="n">
        <v>-2.49</v>
      </c>
      <c r="AA43" s="0" t="n">
        <v>-0.16</v>
      </c>
      <c r="AB43" s="0" t="s">
        <v>235</v>
      </c>
      <c r="AC43" s="0" t="n">
        <v>0</v>
      </c>
      <c r="AD43" s="0" t="s">
        <v>236</v>
      </c>
      <c r="AE43" s="0" t="n">
        <v>1</v>
      </c>
      <c r="AF43" s="0" t="s">
        <v>281</v>
      </c>
      <c r="AG43" s="0" t="n">
        <v>1</v>
      </c>
      <c r="AH43" s="0" t="n">
        <v>20</v>
      </c>
      <c r="AI43" s="0" t="s">
        <v>350</v>
      </c>
      <c r="AJ43" s="0" t="n">
        <v>7.3</v>
      </c>
      <c r="AK43" s="0" t="n">
        <v>1.7</v>
      </c>
    </row>
    <row r="44" customFormat="false" ht="15" hidden="false" customHeight="false" outlineLevel="0" collapsed="false">
      <c r="A44" s="0" t="s">
        <v>135</v>
      </c>
      <c r="B44" s="0" t="s">
        <v>282</v>
      </c>
      <c r="C44" s="0" t="s">
        <v>283</v>
      </c>
      <c r="D44" s="0" t="s">
        <v>472</v>
      </c>
      <c r="E44" s="0" t="s">
        <v>114</v>
      </c>
      <c r="F44" s="0" t="s">
        <v>415</v>
      </c>
      <c r="G44" s="0" t="s">
        <v>79</v>
      </c>
      <c r="H44" s="0" t="n">
        <v>3</v>
      </c>
      <c r="I44" s="0" t="n">
        <v>8</v>
      </c>
      <c r="J44" s="0" t="n">
        <v>2</v>
      </c>
      <c r="K44" s="0" t="s">
        <v>241</v>
      </c>
      <c r="L44" s="0" t="s">
        <v>282</v>
      </c>
      <c r="M44" s="28" t="b">
        <f aca="false">FALSE()</f>
        <v>0</v>
      </c>
      <c r="U44" s="0" t="n">
        <v>4.05</v>
      </c>
      <c r="V44" s="0" t="n">
        <v>9.17</v>
      </c>
      <c r="W44" s="0" t="n">
        <v>61.3</v>
      </c>
      <c r="X44" s="0" t="n">
        <v>1.05</v>
      </c>
      <c r="Y44" s="0" t="n">
        <v>1.17</v>
      </c>
      <c r="Z44" s="0" t="n">
        <v>1.05</v>
      </c>
      <c r="AA44" s="0" t="n">
        <v>1.17</v>
      </c>
      <c r="AB44" s="0" t="s">
        <v>235</v>
      </c>
      <c r="AC44" s="0" t="n">
        <v>1</v>
      </c>
      <c r="AD44" s="0" t="s">
        <v>236</v>
      </c>
      <c r="AE44" s="0" t="n">
        <v>1</v>
      </c>
      <c r="AF44" s="0" t="s">
        <v>283</v>
      </c>
      <c r="AG44" s="0" t="n">
        <v>0</v>
      </c>
      <c r="AH44" s="0" t="n">
        <v>24</v>
      </c>
      <c r="AI44" s="0" t="s">
        <v>350</v>
      </c>
      <c r="AJ44" s="0" t="n">
        <v>12</v>
      </c>
      <c r="AK44" s="0" t="n">
        <v>4</v>
      </c>
    </row>
    <row r="45" customFormat="false" ht="15" hidden="false" customHeight="false" outlineLevel="0" collapsed="false">
      <c r="A45" s="0" t="s">
        <v>135</v>
      </c>
      <c r="B45" s="0" t="s">
        <v>136</v>
      </c>
      <c r="C45" s="0" t="s">
        <v>137</v>
      </c>
      <c r="D45" s="0" t="s">
        <v>473</v>
      </c>
      <c r="E45" s="0" t="s">
        <v>114</v>
      </c>
      <c r="F45" s="0" t="s">
        <v>114</v>
      </c>
      <c r="G45" s="0" t="s">
        <v>138</v>
      </c>
      <c r="H45" s="0" t="n">
        <v>4</v>
      </c>
      <c r="I45" s="0" t="n">
        <v>8</v>
      </c>
      <c r="J45" s="0" t="n">
        <v>-2</v>
      </c>
      <c r="K45" s="0" t="s">
        <v>241</v>
      </c>
      <c r="L45" s="0" t="s">
        <v>137</v>
      </c>
      <c r="M45" s="28" t="b">
        <f aca="false">TRUE()</f>
        <v>1</v>
      </c>
      <c r="N45" s="0" t="s">
        <v>137</v>
      </c>
      <c r="O45" s="0" t="n">
        <v>2.54</v>
      </c>
      <c r="P45" s="0" t="n">
        <v>2</v>
      </c>
      <c r="Q45" s="0" t="n">
        <v>-0.54</v>
      </c>
      <c r="R45" s="0" t="n">
        <v>0</v>
      </c>
      <c r="S45" s="0" t="n">
        <v>1</v>
      </c>
      <c r="T45" s="0" t="s">
        <v>76</v>
      </c>
      <c r="U45" s="0" t="n">
        <v>5.44</v>
      </c>
      <c r="V45" s="0" t="n">
        <v>11.49</v>
      </c>
      <c r="W45" s="0" t="n">
        <v>59</v>
      </c>
      <c r="X45" s="0" t="n">
        <v>1.44</v>
      </c>
      <c r="Y45" s="0" t="n">
        <v>3.49</v>
      </c>
      <c r="Z45" s="0" t="n">
        <v>1.44</v>
      </c>
      <c r="AA45" s="0" t="n">
        <v>3.49</v>
      </c>
      <c r="AB45" s="0" t="s">
        <v>233</v>
      </c>
      <c r="AC45" s="0" t="n">
        <v>0</v>
      </c>
      <c r="AD45" s="0" t="s">
        <v>234</v>
      </c>
      <c r="AE45" s="0" t="n">
        <v>0</v>
      </c>
      <c r="AF45" s="0" t="s">
        <v>137</v>
      </c>
      <c r="AG45" s="0" t="n">
        <v>0</v>
      </c>
      <c r="AH45" s="0" t="n">
        <v>10</v>
      </c>
      <c r="AI45" s="0" t="s">
        <v>350</v>
      </c>
      <c r="AJ45" s="0" t="n">
        <v>11.7</v>
      </c>
      <c r="AK45" s="0" t="n">
        <v>3.7</v>
      </c>
    </row>
    <row r="46" customFormat="false" ht="15" hidden="false" customHeight="false" outlineLevel="0" collapsed="false">
      <c r="A46" s="0" t="s">
        <v>135</v>
      </c>
      <c r="B46" s="0" t="s">
        <v>284</v>
      </c>
      <c r="C46" s="0" t="s">
        <v>285</v>
      </c>
      <c r="D46" s="0" t="s">
        <v>474</v>
      </c>
      <c r="E46" s="0" t="s">
        <v>424</v>
      </c>
      <c r="F46" s="0" t="s">
        <v>101</v>
      </c>
      <c r="G46" s="0" t="s">
        <v>475</v>
      </c>
      <c r="H46" s="0" t="n">
        <v>7</v>
      </c>
      <c r="I46" s="0" t="n">
        <v>13</v>
      </c>
      <c r="J46" s="0" t="n">
        <v>5</v>
      </c>
      <c r="K46" s="0" t="s">
        <v>285</v>
      </c>
      <c r="L46" s="0" t="s">
        <v>284</v>
      </c>
      <c r="M46" s="28" t="b">
        <f aca="false">FALSE()</f>
        <v>0</v>
      </c>
      <c r="U46" s="0" t="n">
        <v>4.14</v>
      </c>
      <c r="V46" s="0" t="n">
        <v>13.72</v>
      </c>
      <c r="W46" s="0" t="n">
        <v>67.5</v>
      </c>
      <c r="X46" s="0" t="n">
        <v>2.86</v>
      </c>
      <c r="Y46" s="0" t="n">
        <v>0.720000000000001</v>
      </c>
      <c r="Z46" s="0" t="n">
        <v>-2.86</v>
      </c>
      <c r="AA46" s="0" t="n">
        <v>0.720000000000001</v>
      </c>
      <c r="AB46" s="0" t="s">
        <v>235</v>
      </c>
      <c r="AC46" s="0" t="n">
        <v>0</v>
      </c>
      <c r="AD46" s="0" t="s">
        <v>234</v>
      </c>
      <c r="AE46" s="0" t="n">
        <v>1</v>
      </c>
      <c r="AF46" s="0" t="s">
        <v>286</v>
      </c>
      <c r="AG46" s="0" t="n">
        <v>0</v>
      </c>
      <c r="AH46" s="0" t="n">
        <v>47</v>
      </c>
      <c r="AI46" s="0" t="s">
        <v>350</v>
      </c>
      <c r="AJ46" s="0" t="n">
        <v>11.23</v>
      </c>
      <c r="AK46" s="0" t="n">
        <v>1.77</v>
      </c>
    </row>
    <row r="47" customFormat="false" ht="15" hidden="false" customHeight="false" outlineLevel="0" collapsed="false">
      <c r="A47" s="0" t="s">
        <v>135</v>
      </c>
      <c r="B47" s="0" t="s">
        <v>139</v>
      </c>
      <c r="C47" s="0" t="s">
        <v>140</v>
      </c>
      <c r="D47" s="0" t="s">
        <v>476</v>
      </c>
      <c r="E47" s="0" t="s">
        <v>441</v>
      </c>
      <c r="F47" s="0" t="s">
        <v>122</v>
      </c>
      <c r="G47" s="0" t="s">
        <v>141</v>
      </c>
      <c r="H47" s="0" t="n">
        <v>6</v>
      </c>
      <c r="I47" s="0" t="n">
        <v>12</v>
      </c>
      <c r="J47" s="0" t="n">
        <v>-2</v>
      </c>
      <c r="K47" s="0" t="s">
        <v>139</v>
      </c>
      <c r="L47" s="0" t="s">
        <v>140</v>
      </c>
      <c r="M47" s="28" t="b">
        <f aca="false">TRUE()</f>
        <v>1</v>
      </c>
      <c r="N47" s="0" t="s">
        <v>140</v>
      </c>
      <c r="O47" s="0" t="n">
        <v>4</v>
      </c>
      <c r="P47" s="0" t="n">
        <v>2</v>
      </c>
      <c r="Q47" s="0" t="n">
        <v>-2</v>
      </c>
      <c r="R47" s="0" t="n">
        <v>0</v>
      </c>
      <c r="S47" s="0" t="n">
        <v>1</v>
      </c>
      <c r="T47" s="0" t="s">
        <v>76</v>
      </c>
      <c r="U47" s="0" t="n">
        <v>3.95</v>
      </c>
      <c r="V47" s="0" t="n">
        <v>7.62</v>
      </c>
      <c r="W47" s="0" t="n">
        <v>60</v>
      </c>
      <c r="X47" s="0" t="n">
        <v>2.05</v>
      </c>
      <c r="Y47" s="0" t="n">
        <v>4.38</v>
      </c>
      <c r="Z47" s="0" t="n">
        <v>-2.05</v>
      </c>
      <c r="AA47" s="0" t="n">
        <v>-4.38</v>
      </c>
      <c r="AB47" s="0" t="s">
        <v>235</v>
      </c>
      <c r="AC47" s="0" t="n">
        <v>0</v>
      </c>
      <c r="AD47" s="0" t="s">
        <v>236</v>
      </c>
      <c r="AE47" s="0" t="n">
        <v>0</v>
      </c>
      <c r="AF47" s="0" t="s">
        <v>140</v>
      </c>
      <c r="AG47" s="0" t="n">
        <v>0</v>
      </c>
      <c r="AH47" s="0" t="n">
        <v>21</v>
      </c>
      <c r="AI47" s="0" t="s">
        <v>350</v>
      </c>
      <c r="AJ47" s="0" t="n">
        <v>9.2</v>
      </c>
      <c r="AK47" s="0" t="n">
        <v>2.8</v>
      </c>
    </row>
    <row r="48" customFormat="false" ht="15" hidden="false" customHeight="false" outlineLevel="0" collapsed="false">
      <c r="A48" s="0" t="s">
        <v>135</v>
      </c>
      <c r="B48" s="0" t="s">
        <v>142</v>
      </c>
      <c r="C48" s="0" t="s">
        <v>143</v>
      </c>
      <c r="D48" s="0" t="s">
        <v>477</v>
      </c>
      <c r="E48" s="0" t="s">
        <v>415</v>
      </c>
      <c r="F48" s="0" t="s">
        <v>430</v>
      </c>
      <c r="G48" s="0" t="s">
        <v>144</v>
      </c>
      <c r="H48" s="0" t="n">
        <v>3</v>
      </c>
      <c r="I48" s="0" t="n">
        <v>8</v>
      </c>
      <c r="J48" s="0" t="n">
        <v>6</v>
      </c>
      <c r="K48" s="0" t="s">
        <v>142</v>
      </c>
      <c r="L48" s="0" t="s">
        <v>142</v>
      </c>
      <c r="M48" s="28" t="b">
        <f aca="false">TRUE()</f>
        <v>1</v>
      </c>
      <c r="N48" s="0" t="s">
        <v>142</v>
      </c>
      <c r="O48" s="0" t="n">
        <v>5.73</v>
      </c>
      <c r="P48" s="0" t="n">
        <v>6</v>
      </c>
      <c r="Q48" s="0" t="n">
        <v>0.27</v>
      </c>
      <c r="R48" s="0" t="n">
        <v>1</v>
      </c>
      <c r="S48" s="0" t="n">
        <v>1</v>
      </c>
      <c r="T48" s="0" t="s">
        <v>76</v>
      </c>
      <c r="U48" s="0" t="n">
        <v>5.47</v>
      </c>
      <c r="V48" s="0" t="n">
        <v>10.49</v>
      </c>
      <c r="W48" s="0" t="n">
        <v>62.7</v>
      </c>
      <c r="X48" s="0" t="n">
        <v>2.47</v>
      </c>
      <c r="Y48" s="0" t="n">
        <v>2.49</v>
      </c>
      <c r="Z48" s="0" t="n">
        <v>2.47</v>
      </c>
      <c r="AA48" s="0" t="n">
        <v>2.49</v>
      </c>
      <c r="AB48" s="0" t="s">
        <v>233</v>
      </c>
      <c r="AC48" s="0" t="n">
        <v>0</v>
      </c>
      <c r="AD48" s="0" t="s">
        <v>237</v>
      </c>
      <c r="AF48" s="0" t="s">
        <v>142</v>
      </c>
      <c r="AG48" s="0" t="n">
        <v>1</v>
      </c>
      <c r="AH48" s="0" t="n">
        <v>75</v>
      </c>
      <c r="AI48" s="0" t="s">
        <v>354</v>
      </c>
      <c r="AJ48" s="0" t="n">
        <v>8</v>
      </c>
      <c r="AK48" s="0" t="n">
        <v>0</v>
      </c>
      <c r="AL48" s="0" t="s">
        <v>355</v>
      </c>
      <c r="AM48" s="0" t="s">
        <v>356</v>
      </c>
      <c r="AN48" s="0" t="n">
        <v>1</v>
      </c>
      <c r="AO48" s="0" t="n">
        <v>0</v>
      </c>
    </row>
    <row r="49" customFormat="false" ht="15" hidden="false" customHeight="false" outlineLevel="0" collapsed="false">
      <c r="A49" s="0" t="s">
        <v>135</v>
      </c>
      <c r="B49" s="0" t="s">
        <v>145</v>
      </c>
      <c r="C49" s="0" t="s">
        <v>146</v>
      </c>
      <c r="D49" s="0" t="s">
        <v>478</v>
      </c>
      <c r="E49" s="0" t="s">
        <v>441</v>
      </c>
      <c r="F49" s="0" t="s">
        <v>114</v>
      </c>
      <c r="G49" s="0" t="s">
        <v>117</v>
      </c>
      <c r="H49" s="0" t="n">
        <v>4</v>
      </c>
      <c r="I49" s="0" t="n">
        <v>7</v>
      </c>
      <c r="J49" s="0" t="n">
        <v>3</v>
      </c>
      <c r="K49" s="0" t="s">
        <v>145</v>
      </c>
      <c r="L49" s="0" t="s">
        <v>145</v>
      </c>
      <c r="M49" s="28" t="b">
        <f aca="false">TRUE()</f>
        <v>1</v>
      </c>
      <c r="N49" s="0" t="s">
        <v>145</v>
      </c>
      <c r="O49" s="0" t="n">
        <v>4.21</v>
      </c>
      <c r="P49" s="0" t="n">
        <v>3</v>
      </c>
      <c r="Q49" s="0" t="n">
        <v>-1.21</v>
      </c>
      <c r="R49" s="0" t="n">
        <v>0</v>
      </c>
      <c r="S49" s="0" t="n">
        <v>1</v>
      </c>
      <c r="T49" s="0" t="s">
        <v>76</v>
      </c>
      <c r="U49" s="0" t="n">
        <v>4.12</v>
      </c>
      <c r="V49" s="0" t="n">
        <v>9.68</v>
      </c>
      <c r="W49" s="0" t="n">
        <v>67.5</v>
      </c>
      <c r="X49" s="0" t="n">
        <v>0.12</v>
      </c>
      <c r="Y49" s="0" t="n">
        <v>2.68</v>
      </c>
      <c r="Z49" s="0" t="n">
        <v>0.12</v>
      </c>
      <c r="AA49" s="0" t="n">
        <v>2.68</v>
      </c>
      <c r="AB49" s="0" t="s">
        <v>235</v>
      </c>
      <c r="AC49" s="0" t="n">
        <v>0</v>
      </c>
      <c r="AD49" s="0" t="s">
        <v>236</v>
      </c>
      <c r="AE49" s="0" t="n">
        <v>1</v>
      </c>
      <c r="AF49" s="0" t="s">
        <v>145</v>
      </c>
      <c r="AG49" s="0" t="n">
        <v>1</v>
      </c>
      <c r="AH49" s="0" t="n">
        <v>66</v>
      </c>
      <c r="AI49" s="0" t="s">
        <v>354</v>
      </c>
      <c r="AJ49" s="0" t="n">
        <v>9.03</v>
      </c>
      <c r="AK49" s="0" t="n">
        <v>2.03</v>
      </c>
      <c r="AL49" s="0" t="s">
        <v>355</v>
      </c>
      <c r="AM49" s="0" t="s">
        <v>353</v>
      </c>
      <c r="AN49" s="0" t="n">
        <v>1</v>
      </c>
      <c r="AO49" s="0" t="n">
        <v>0</v>
      </c>
    </row>
    <row r="50" customFormat="false" ht="15" hidden="false" customHeight="false" outlineLevel="0" collapsed="false">
      <c r="A50" s="0" t="s">
        <v>135</v>
      </c>
      <c r="B50" s="0" t="s">
        <v>287</v>
      </c>
      <c r="C50" s="0" t="s">
        <v>288</v>
      </c>
      <c r="D50" s="0" t="s">
        <v>479</v>
      </c>
      <c r="E50" s="0" t="s">
        <v>424</v>
      </c>
      <c r="F50" s="0" t="s">
        <v>441</v>
      </c>
      <c r="G50" s="0" t="s">
        <v>455</v>
      </c>
      <c r="H50" s="0" t="n">
        <v>1</v>
      </c>
      <c r="I50" s="0" t="n">
        <v>5</v>
      </c>
      <c r="J50" s="0" t="n">
        <v>3</v>
      </c>
      <c r="K50" s="0" t="s">
        <v>288</v>
      </c>
      <c r="L50" s="0" t="s">
        <v>287</v>
      </c>
      <c r="M50" s="28" t="b">
        <f aca="false">FALSE()</f>
        <v>0</v>
      </c>
      <c r="U50" s="0" t="n">
        <v>5.11</v>
      </c>
      <c r="V50" s="0" t="n">
        <v>10.13</v>
      </c>
      <c r="W50" s="0" t="n">
        <v>70</v>
      </c>
      <c r="X50" s="0" t="n">
        <v>4.11</v>
      </c>
      <c r="Y50" s="0" t="n">
        <v>5.13</v>
      </c>
      <c r="Z50" s="0" t="n">
        <v>4.11</v>
      </c>
      <c r="AA50" s="0" t="n">
        <v>5.13</v>
      </c>
      <c r="AB50" s="0" t="s">
        <v>237</v>
      </c>
      <c r="AD50" s="0" t="s">
        <v>237</v>
      </c>
      <c r="AF50" s="0" t="s">
        <v>288</v>
      </c>
      <c r="AG50" s="0" t="n">
        <v>1</v>
      </c>
      <c r="AH50" s="0" t="n">
        <v>11</v>
      </c>
      <c r="AI50" s="0" t="s">
        <v>350</v>
      </c>
      <c r="AJ50" s="0" t="n">
        <v>9.8</v>
      </c>
      <c r="AK50" s="0" t="n">
        <v>4.8</v>
      </c>
    </row>
    <row r="51" customFormat="false" ht="15" hidden="false" customHeight="false" outlineLevel="0" collapsed="false">
      <c r="A51" s="0" t="s">
        <v>135</v>
      </c>
      <c r="B51" s="0" t="s">
        <v>289</v>
      </c>
      <c r="C51" s="0" t="s">
        <v>290</v>
      </c>
      <c r="D51" s="0" t="s">
        <v>480</v>
      </c>
      <c r="E51" s="0" t="s">
        <v>441</v>
      </c>
      <c r="F51" s="0" t="s">
        <v>444</v>
      </c>
      <c r="G51" s="0" t="s">
        <v>481</v>
      </c>
      <c r="H51" s="0" t="n">
        <v>6</v>
      </c>
      <c r="I51" s="0" t="n">
        <v>16</v>
      </c>
      <c r="J51" s="0" t="n">
        <v>8</v>
      </c>
      <c r="K51" s="0" t="s">
        <v>289</v>
      </c>
      <c r="L51" s="0" t="s">
        <v>289</v>
      </c>
      <c r="M51" s="28" t="b">
        <f aca="false">FALSE()</f>
        <v>0</v>
      </c>
      <c r="U51" s="0" t="n">
        <v>3.36</v>
      </c>
      <c r="V51" s="0" t="n">
        <v>8.99</v>
      </c>
      <c r="W51" s="0" t="n">
        <v>59.9</v>
      </c>
      <c r="X51" s="0" t="n">
        <v>2.64</v>
      </c>
      <c r="Y51" s="0" t="n">
        <v>7.01</v>
      </c>
      <c r="Z51" s="0" t="n">
        <v>-2.64</v>
      </c>
      <c r="AA51" s="0" t="n">
        <v>-7.01</v>
      </c>
      <c r="AB51" s="0" t="s">
        <v>235</v>
      </c>
      <c r="AC51" s="0" t="n">
        <v>0</v>
      </c>
      <c r="AD51" s="0" t="s">
        <v>236</v>
      </c>
      <c r="AE51" s="0" t="n">
        <v>0</v>
      </c>
      <c r="AF51" s="0" t="s">
        <v>289</v>
      </c>
      <c r="AG51" s="0" t="n">
        <v>1</v>
      </c>
      <c r="AH51" s="0" t="n">
        <v>39</v>
      </c>
      <c r="AI51" s="0" t="s">
        <v>350</v>
      </c>
      <c r="AJ51" s="0" t="n">
        <v>11</v>
      </c>
      <c r="AK51" s="0" t="n">
        <v>5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149</v>
      </c>
      <c r="D52" s="0" t="s">
        <v>482</v>
      </c>
      <c r="E52" s="0" t="s">
        <v>422</v>
      </c>
      <c r="F52" s="0" t="s">
        <v>434</v>
      </c>
      <c r="G52" s="0" t="s">
        <v>150</v>
      </c>
      <c r="H52" s="0" t="n">
        <v>6</v>
      </c>
      <c r="I52" s="0" t="n">
        <v>16</v>
      </c>
      <c r="J52" s="0" t="n">
        <v>2</v>
      </c>
      <c r="K52" s="0" t="s">
        <v>241</v>
      </c>
      <c r="L52" s="0" t="s">
        <v>148</v>
      </c>
      <c r="M52" s="28" t="b">
        <f aca="false">TRUE()</f>
        <v>1</v>
      </c>
      <c r="N52" s="0" t="s">
        <v>149</v>
      </c>
      <c r="O52" s="0" t="n">
        <v>2.81</v>
      </c>
      <c r="P52" s="0" t="n">
        <v>-2</v>
      </c>
      <c r="Q52" s="0" t="n">
        <v>-4.81</v>
      </c>
      <c r="R52" s="0" t="n">
        <v>0</v>
      </c>
      <c r="S52" s="0" t="n">
        <v>0</v>
      </c>
      <c r="T52" s="0" t="s">
        <v>76</v>
      </c>
      <c r="U52" s="0" t="n">
        <v>5.87</v>
      </c>
      <c r="V52" s="0" t="n">
        <v>11.26</v>
      </c>
      <c r="W52" s="0" t="n">
        <v>47.6</v>
      </c>
      <c r="X52" s="0" t="n">
        <v>0.13</v>
      </c>
      <c r="Y52" s="0" t="n">
        <v>4.74</v>
      </c>
      <c r="Z52" s="0" t="n">
        <v>-0.13</v>
      </c>
      <c r="AA52" s="0" t="n">
        <v>-4.74</v>
      </c>
      <c r="AB52" s="0" t="s">
        <v>233</v>
      </c>
      <c r="AC52" s="0" t="n">
        <v>1</v>
      </c>
      <c r="AD52" s="0" t="s">
        <v>237</v>
      </c>
      <c r="AF52" s="0" t="s">
        <v>149</v>
      </c>
      <c r="AG52" s="0" t="n">
        <v>0</v>
      </c>
      <c r="AH52" s="0" t="n">
        <v>26</v>
      </c>
      <c r="AI52" s="0" t="s">
        <v>350</v>
      </c>
      <c r="AJ52" s="0" t="n">
        <v>9</v>
      </c>
      <c r="AK52" s="0" t="n">
        <v>7</v>
      </c>
    </row>
    <row r="53" customFormat="false" ht="15" hidden="false" customHeight="false" outlineLevel="0" collapsed="false">
      <c r="A53" s="0" t="s">
        <v>147</v>
      </c>
      <c r="B53" s="0" t="s">
        <v>151</v>
      </c>
      <c r="C53" s="0" t="s">
        <v>152</v>
      </c>
      <c r="D53" s="0" t="s">
        <v>483</v>
      </c>
      <c r="E53" s="0" t="s">
        <v>407</v>
      </c>
      <c r="F53" s="0" t="s">
        <v>407</v>
      </c>
      <c r="G53" s="0" t="s">
        <v>153</v>
      </c>
      <c r="H53" s="0" t="n">
        <v>4</v>
      </c>
      <c r="I53" s="0" t="n">
        <v>5</v>
      </c>
      <c r="J53" s="0" t="n">
        <v>5</v>
      </c>
      <c r="K53" s="0" t="s">
        <v>151</v>
      </c>
      <c r="L53" s="0" t="s">
        <v>151</v>
      </c>
      <c r="M53" s="28" t="b">
        <f aca="false">TRUE()</f>
        <v>1</v>
      </c>
      <c r="N53" s="0" t="s">
        <v>151</v>
      </c>
      <c r="O53" s="0" t="n">
        <v>2.96</v>
      </c>
      <c r="P53" s="0" t="n">
        <v>5</v>
      </c>
      <c r="Q53" s="0" t="n">
        <v>2.04</v>
      </c>
      <c r="R53" s="0" t="n">
        <v>1</v>
      </c>
      <c r="S53" s="0" t="n">
        <v>1</v>
      </c>
      <c r="T53" s="0" t="s">
        <v>76</v>
      </c>
      <c r="U53" s="0" t="n">
        <v>3.51</v>
      </c>
      <c r="V53" s="0" t="n">
        <v>8.78</v>
      </c>
      <c r="W53" s="0" t="n">
        <v>40.7</v>
      </c>
      <c r="X53" s="0" t="n">
        <v>0.49</v>
      </c>
      <c r="Y53" s="0" t="n">
        <v>3.78</v>
      </c>
      <c r="Z53" s="0" t="n">
        <v>-0.49</v>
      </c>
      <c r="AA53" s="0" t="n">
        <v>3.78</v>
      </c>
      <c r="AB53" s="0" t="s">
        <v>235</v>
      </c>
      <c r="AC53" s="0" t="n">
        <v>0</v>
      </c>
      <c r="AD53" s="0" t="s">
        <v>236</v>
      </c>
      <c r="AE53" s="0" t="n">
        <v>1</v>
      </c>
      <c r="AF53" s="0" t="s">
        <v>151</v>
      </c>
      <c r="AG53" s="0" t="n">
        <v>1</v>
      </c>
      <c r="AH53" s="0" t="n">
        <v>65</v>
      </c>
      <c r="AI53" s="0" t="s">
        <v>354</v>
      </c>
      <c r="AJ53" s="0" t="n">
        <v>11.4</v>
      </c>
      <c r="AK53" s="0" t="n">
        <v>6.4</v>
      </c>
      <c r="AL53" s="0" t="s">
        <v>355</v>
      </c>
      <c r="AM53" s="0" t="s">
        <v>357</v>
      </c>
      <c r="AN53" s="0" t="n">
        <v>1</v>
      </c>
      <c r="AO53" s="0" t="n">
        <v>0</v>
      </c>
    </row>
    <row r="54" customFormat="false" ht="15" hidden="false" customHeight="false" outlineLevel="0" collapsed="false">
      <c r="A54" s="0" t="s">
        <v>147</v>
      </c>
      <c r="B54" s="0" t="s">
        <v>291</v>
      </c>
      <c r="C54" s="0" t="s">
        <v>292</v>
      </c>
      <c r="D54" s="0" t="s">
        <v>484</v>
      </c>
      <c r="E54" s="0" t="s">
        <v>411</v>
      </c>
      <c r="F54" s="0" t="s">
        <v>485</v>
      </c>
      <c r="G54" s="0" t="s">
        <v>466</v>
      </c>
      <c r="H54" s="0" t="n">
        <v>5</v>
      </c>
      <c r="I54" s="0" t="n">
        <v>7</v>
      </c>
      <c r="J54" s="0" t="n">
        <v>-3</v>
      </c>
      <c r="K54" s="0" t="s">
        <v>292</v>
      </c>
      <c r="L54" s="0" t="s">
        <v>292</v>
      </c>
      <c r="M54" s="28" t="b">
        <f aca="false">FALSE()</f>
        <v>0</v>
      </c>
      <c r="U54" s="0" t="n">
        <v>4.74</v>
      </c>
      <c r="V54" s="0" t="n">
        <v>11.26</v>
      </c>
      <c r="W54" s="0" t="n">
        <v>47.6</v>
      </c>
      <c r="X54" s="0" t="n">
        <v>0.26</v>
      </c>
      <c r="Y54" s="0" t="n">
        <v>4.26</v>
      </c>
      <c r="Z54" s="0" t="n">
        <v>-0.26</v>
      </c>
      <c r="AA54" s="0" t="n">
        <v>4.26</v>
      </c>
      <c r="AB54" s="0" t="s">
        <v>237</v>
      </c>
      <c r="AD54" s="0" t="s">
        <v>237</v>
      </c>
      <c r="AF54" s="0" t="s">
        <v>292</v>
      </c>
      <c r="AG54" s="0" t="n">
        <v>1</v>
      </c>
      <c r="AH54" s="0" t="n">
        <v>22</v>
      </c>
      <c r="AI54" s="0" t="s">
        <v>350</v>
      </c>
      <c r="AJ54" s="0" t="n">
        <v>9.27</v>
      </c>
      <c r="AK54" s="0" t="n">
        <v>2.27</v>
      </c>
    </row>
    <row r="55" customFormat="false" ht="15" hidden="false" customHeight="false" outlineLevel="0" collapsed="false">
      <c r="A55" s="0" t="s">
        <v>147</v>
      </c>
      <c r="B55" s="0" t="s">
        <v>154</v>
      </c>
      <c r="C55" s="0" t="s">
        <v>155</v>
      </c>
      <c r="D55" s="0" t="s">
        <v>486</v>
      </c>
      <c r="E55" s="0" t="s">
        <v>411</v>
      </c>
      <c r="F55" s="0" t="s">
        <v>411</v>
      </c>
      <c r="G55" s="0" t="s">
        <v>156</v>
      </c>
      <c r="H55" s="0" t="n">
        <v>3</v>
      </c>
      <c r="I55" s="0" t="n">
        <v>13</v>
      </c>
      <c r="J55" s="0" t="n">
        <v>-5</v>
      </c>
      <c r="K55" s="0" t="s">
        <v>155</v>
      </c>
      <c r="L55" s="0" t="s">
        <v>155</v>
      </c>
      <c r="M55" s="28" t="b">
        <f aca="false">TRUE()</f>
        <v>1</v>
      </c>
      <c r="N55" s="0" t="s">
        <v>155</v>
      </c>
      <c r="O55" s="0" t="n">
        <v>3.08</v>
      </c>
      <c r="P55" s="0" t="n">
        <v>5</v>
      </c>
      <c r="Q55" s="0" t="n">
        <v>1.92</v>
      </c>
      <c r="R55" s="0" t="n">
        <v>1</v>
      </c>
      <c r="S55" s="0" t="n">
        <v>1</v>
      </c>
      <c r="T55" s="0" t="s">
        <v>76</v>
      </c>
      <c r="U55" s="0" t="n">
        <v>4.24</v>
      </c>
      <c r="V55" s="0" t="n">
        <v>10.5</v>
      </c>
      <c r="W55" s="0" t="n">
        <v>46.4</v>
      </c>
      <c r="X55" s="0" t="n">
        <v>1.24</v>
      </c>
      <c r="Y55" s="0" t="n">
        <v>2.5</v>
      </c>
      <c r="Z55" s="0" t="n">
        <v>1.24</v>
      </c>
      <c r="AA55" s="0" t="n">
        <v>-2.5</v>
      </c>
      <c r="AB55" s="0" t="s">
        <v>235</v>
      </c>
      <c r="AC55" s="0" t="n">
        <v>1</v>
      </c>
      <c r="AD55" s="0" t="s">
        <v>237</v>
      </c>
      <c r="AF55" s="0" t="s">
        <v>155</v>
      </c>
      <c r="AG55" s="0" t="n">
        <v>1</v>
      </c>
      <c r="AH55" s="0" t="n">
        <v>12</v>
      </c>
      <c r="AI55" s="0" t="s">
        <v>350</v>
      </c>
      <c r="AJ55" s="0" t="n">
        <v>8.53</v>
      </c>
      <c r="AK55" s="0" t="n">
        <v>4.47</v>
      </c>
    </row>
    <row r="56" customFormat="false" ht="15" hidden="false" customHeight="false" outlineLevel="0" collapsed="false">
      <c r="A56" s="0" t="s">
        <v>147</v>
      </c>
      <c r="B56" s="0" t="s">
        <v>293</v>
      </c>
      <c r="C56" s="0" t="s">
        <v>294</v>
      </c>
      <c r="D56" s="0" t="s">
        <v>487</v>
      </c>
      <c r="E56" s="0" t="s">
        <v>427</v>
      </c>
      <c r="F56" s="0" t="s">
        <v>188</v>
      </c>
      <c r="G56" s="0" t="s">
        <v>204</v>
      </c>
      <c r="H56" s="0" t="n">
        <v>4</v>
      </c>
      <c r="I56" s="0" t="n">
        <v>12</v>
      </c>
      <c r="J56" s="0" t="n">
        <v>0</v>
      </c>
      <c r="K56" s="0" t="s">
        <v>293</v>
      </c>
      <c r="L56" s="0" t="s">
        <v>241</v>
      </c>
      <c r="M56" s="28" t="b">
        <f aca="false">FALSE()</f>
        <v>0</v>
      </c>
      <c r="U56" s="0" t="n">
        <v>2.55</v>
      </c>
      <c r="V56" s="0" t="n">
        <v>7.08</v>
      </c>
      <c r="W56" s="0" t="n">
        <v>40</v>
      </c>
      <c r="X56" s="0" t="n">
        <v>1.45</v>
      </c>
      <c r="Y56" s="0" t="n">
        <v>4.92</v>
      </c>
      <c r="Z56" s="0" t="n">
        <v>-1.45</v>
      </c>
      <c r="AA56" s="0" t="n">
        <v>-4.92</v>
      </c>
      <c r="AB56" s="0" t="s">
        <v>235</v>
      </c>
      <c r="AC56" s="0" t="n">
        <v>0</v>
      </c>
      <c r="AD56" s="0" t="s">
        <v>236</v>
      </c>
      <c r="AE56" s="0" t="n">
        <v>0</v>
      </c>
      <c r="AF56" s="0" t="s">
        <v>293</v>
      </c>
      <c r="AG56" s="0" t="n">
        <v>1</v>
      </c>
      <c r="AH56" s="0" t="n">
        <v>40</v>
      </c>
      <c r="AI56" s="0" t="s">
        <v>350</v>
      </c>
      <c r="AJ56" s="0" t="n">
        <v>7.87</v>
      </c>
      <c r="AK56" s="0" t="n">
        <v>4.13</v>
      </c>
    </row>
    <row r="57" customFormat="false" ht="15" hidden="false" customHeight="false" outlineLevel="0" collapsed="false">
      <c r="A57" s="0" t="s">
        <v>147</v>
      </c>
      <c r="B57" s="0" t="s">
        <v>157</v>
      </c>
      <c r="C57" s="0" t="s">
        <v>158</v>
      </c>
      <c r="D57" s="0" t="s">
        <v>488</v>
      </c>
      <c r="E57" s="0" t="s">
        <v>131</v>
      </c>
      <c r="F57" s="0" t="s">
        <v>114</v>
      </c>
      <c r="G57" s="0" t="s">
        <v>159</v>
      </c>
      <c r="H57" s="0" t="n">
        <v>4</v>
      </c>
      <c r="I57" s="0" t="n">
        <v>8</v>
      </c>
      <c r="J57" s="0" t="n">
        <v>0</v>
      </c>
      <c r="K57" s="0" t="s">
        <v>158</v>
      </c>
      <c r="L57" s="0" t="s">
        <v>241</v>
      </c>
      <c r="M57" s="28" t="b">
        <f aca="false">TRUE()</f>
        <v>1</v>
      </c>
      <c r="N57" s="0" t="s">
        <v>158</v>
      </c>
      <c r="O57" s="0" t="n">
        <v>3.28</v>
      </c>
      <c r="P57" s="0" t="n">
        <v>0</v>
      </c>
      <c r="Q57" s="0" t="n">
        <v>-3.28</v>
      </c>
      <c r="R57" s="0" t="n">
        <v>0</v>
      </c>
      <c r="S57" s="0" t="n">
        <v>0</v>
      </c>
      <c r="T57" s="0" t="s">
        <v>76</v>
      </c>
      <c r="U57" s="0" t="n">
        <v>3.72</v>
      </c>
      <c r="V57" s="0" t="n">
        <v>9.42</v>
      </c>
      <c r="W57" s="0" t="n">
        <v>43.1</v>
      </c>
      <c r="X57" s="0" t="n">
        <v>0.28</v>
      </c>
      <c r="Y57" s="0" t="n">
        <v>1.42</v>
      </c>
      <c r="Z57" s="0" t="n">
        <v>-0.28</v>
      </c>
      <c r="AA57" s="0" t="n">
        <v>1.42</v>
      </c>
      <c r="AB57" s="0" t="s">
        <v>235</v>
      </c>
      <c r="AC57" s="0" t="n">
        <v>0</v>
      </c>
      <c r="AD57" s="0" t="s">
        <v>236</v>
      </c>
      <c r="AE57" s="0" t="n">
        <v>1</v>
      </c>
      <c r="AF57" s="0" t="s">
        <v>158</v>
      </c>
      <c r="AG57" s="0" t="n">
        <v>1</v>
      </c>
      <c r="AH57" s="0" t="n">
        <v>30</v>
      </c>
      <c r="AI57" s="0" t="s">
        <v>350</v>
      </c>
      <c r="AJ57" s="0" t="n">
        <v>11.47</v>
      </c>
      <c r="AK57" s="0" t="n">
        <v>3.47</v>
      </c>
    </row>
    <row r="58" customFormat="false" ht="15" hidden="false" customHeight="false" outlineLevel="0" collapsed="false">
      <c r="A58" s="0" t="s">
        <v>147</v>
      </c>
      <c r="B58" s="0" t="s">
        <v>160</v>
      </c>
      <c r="C58" s="0" t="s">
        <v>161</v>
      </c>
      <c r="D58" s="0" t="s">
        <v>489</v>
      </c>
      <c r="E58" s="0" t="s">
        <v>443</v>
      </c>
      <c r="F58" s="0" t="s">
        <v>434</v>
      </c>
      <c r="G58" s="0" t="s">
        <v>162</v>
      </c>
      <c r="H58" s="0" t="n">
        <v>6</v>
      </c>
      <c r="I58" s="0" t="n">
        <v>14</v>
      </c>
      <c r="J58" s="0" t="n">
        <v>6</v>
      </c>
      <c r="K58" s="0" t="s">
        <v>160</v>
      </c>
      <c r="L58" s="0" t="s">
        <v>160</v>
      </c>
      <c r="M58" s="28" t="b">
        <f aca="false">TRUE()</f>
        <v>1</v>
      </c>
      <c r="N58" s="0" t="s">
        <v>160</v>
      </c>
      <c r="O58" s="0" t="n">
        <v>2.73</v>
      </c>
      <c r="P58" s="0" t="n">
        <v>6</v>
      </c>
      <c r="Q58" s="0" t="n">
        <v>3.27</v>
      </c>
      <c r="R58" s="0" t="n">
        <v>1</v>
      </c>
      <c r="S58" s="0" t="n">
        <v>1</v>
      </c>
      <c r="T58" s="0" t="s">
        <v>76</v>
      </c>
      <c r="U58" s="0" t="n">
        <v>4.77</v>
      </c>
      <c r="V58" s="0" t="n">
        <v>12.46</v>
      </c>
      <c r="W58" s="0" t="n">
        <v>47.6</v>
      </c>
      <c r="X58" s="0" t="n">
        <v>1.23</v>
      </c>
      <c r="Y58" s="0" t="n">
        <v>1.54</v>
      </c>
      <c r="Z58" s="0" t="n">
        <v>-1.23</v>
      </c>
      <c r="AA58" s="0" t="n">
        <v>-1.54</v>
      </c>
      <c r="AB58" s="0" t="s">
        <v>237</v>
      </c>
      <c r="AD58" s="0" t="s">
        <v>234</v>
      </c>
      <c r="AE58" s="0" t="n">
        <v>1</v>
      </c>
      <c r="AF58" s="0" t="s">
        <v>160</v>
      </c>
      <c r="AG58" s="0" t="n">
        <v>1</v>
      </c>
      <c r="AH58" s="0" t="n">
        <v>33</v>
      </c>
      <c r="AI58" s="0" t="s">
        <v>350</v>
      </c>
      <c r="AJ58" s="0" t="n">
        <v>10.47</v>
      </c>
      <c r="AK58" s="0" t="n">
        <v>3.53</v>
      </c>
    </row>
    <row r="59" customFormat="false" ht="15" hidden="false" customHeight="false" outlineLevel="0" collapsed="false">
      <c r="A59" s="0" t="s">
        <v>147</v>
      </c>
      <c r="B59" s="0" t="s">
        <v>163</v>
      </c>
      <c r="C59" s="0" t="s">
        <v>164</v>
      </c>
      <c r="D59" s="0" t="s">
        <v>490</v>
      </c>
      <c r="E59" s="0" t="s">
        <v>422</v>
      </c>
      <c r="F59" s="0" t="s">
        <v>491</v>
      </c>
      <c r="G59" s="0" t="s">
        <v>165</v>
      </c>
      <c r="H59" s="0" t="n">
        <v>8</v>
      </c>
      <c r="I59" s="0" t="n">
        <v>16</v>
      </c>
      <c r="J59" s="0" t="n">
        <v>12</v>
      </c>
      <c r="K59" s="0" t="s">
        <v>241</v>
      </c>
      <c r="L59" s="0" t="s">
        <v>163</v>
      </c>
      <c r="M59" s="28" t="b">
        <f aca="false">TRUE()</f>
        <v>1</v>
      </c>
      <c r="N59" s="0" t="s">
        <v>163</v>
      </c>
      <c r="O59" s="0" t="n">
        <v>4.09</v>
      </c>
      <c r="P59" s="0" t="n">
        <v>12</v>
      </c>
      <c r="Q59" s="0" t="n">
        <v>7.91</v>
      </c>
      <c r="R59" s="0" t="n">
        <v>1</v>
      </c>
      <c r="S59" s="0" t="n">
        <v>1</v>
      </c>
      <c r="T59" s="0" t="s">
        <v>76</v>
      </c>
      <c r="U59" s="0" t="n">
        <v>6.69</v>
      </c>
      <c r="V59" s="0" t="n">
        <v>11.92</v>
      </c>
      <c r="W59" s="0" t="n">
        <v>47.6</v>
      </c>
      <c r="X59" s="0" t="n">
        <v>1.31</v>
      </c>
      <c r="Y59" s="0" t="n">
        <v>4.08</v>
      </c>
      <c r="Z59" s="0" t="n">
        <v>-1.31</v>
      </c>
      <c r="AA59" s="0" t="n">
        <v>-4.08</v>
      </c>
      <c r="AB59" s="0" t="s">
        <v>233</v>
      </c>
      <c r="AC59" s="0" t="n">
        <v>1</v>
      </c>
      <c r="AD59" s="0" t="s">
        <v>234</v>
      </c>
      <c r="AE59" s="0" t="n">
        <v>1</v>
      </c>
      <c r="AF59" s="0" t="s">
        <v>163</v>
      </c>
      <c r="AG59" s="0" t="n">
        <v>0</v>
      </c>
      <c r="AH59" s="0" t="n">
        <v>40</v>
      </c>
      <c r="AI59" s="0" t="s">
        <v>350</v>
      </c>
      <c r="AJ59" s="0" t="n">
        <v>9.73</v>
      </c>
      <c r="AK59" s="0" t="n">
        <v>6.27</v>
      </c>
    </row>
    <row r="60" customFormat="false" ht="15" hidden="false" customHeight="false" outlineLevel="0" collapsed="false">
      <c r="A60" s="0" t="s">
        <v>147</v>
      </c>
      <c r="B60" s="0" t="s">
        <v>295</v>
      </c>
      <c r="C60" s="0" t="s">
        <v>296</v>
      </c>
      <c r="D60" s="0" t="s">
        <v>492</v>
      </c>
      <c r="E60" s="0" t="s">
        <v>429</v>
      </c>
      <c r="F60" s="0" t="s">
        <v>138</v>
      </c>
      <c r="G60" s="0" t="s">
        <v>469</v>
      </c>
      <c r="H60" s="0" t="n">
        <v>8</v>
      </c>
      <c r="I60" s="0" t="n">
        <v>13</v>
      </c>
      <c r="J60" s="0" t="n">
        <v>3</v>
      </c>
      <c r="K60" s="0" t="s">
        <v>241</v>
      </c>
      <c r="L60" s="0" t="s">
        <v>295</v>
      </c>
      <c r="M60" s="28" t="b">
        <f aca="false">FALSE()</f>
        <v>0</v>
      </c>
      <c r="U60" s="0" t="n">
        <v>5.73</v>
      </c>
      <c r="V60" s="0" t="n">
        <v>14.9</v>
      </c>
      <c r="W60" s="0" t="n">
        <v>47.6</v>
      </c>
      <c r="X60" s="0" t="n">
        <v>2.27</v>
      </c>
      <c r="Y60" s="0" t="n">
        <v>1.9</v>
      </c>
      <c r="Z60" s="0" t="n">
        <v>-2.27</v>
      </c>
      <c r="AA60" s="0" t="n">
        <v>1.9</v>
      </c>
      <c r="AB60" s="0" t="s">
        <v>233</v>
      </c>
      <c r="AC60" s="0" t="n">
        <v>1</v>
      </c>
      <c r="AD60" s="0" t="s">
        <v>234</v>
      </c>
      <c r="AE60" s="0" t="n">
        <v>1</v>
      </c>
      <c r="AF60" s="0" t="s">
        <v>296</v>
      </c>
      <c r="AG60" s="0" t="n">
        <v>0</v>
      </c>
      <c r="AH60" s="0" t="n">
        <v>21</v>
      </c>
      <c r="AI60" s="0" t="s">
        <v>350</v>
      </c>
      <c r="AJ60" s="0" t="n">
        <v>9.53</v>
      </c>
      <c r="AK60" s="0" t="n">
        <v>3.47</v>
      </c>
    </row>
    <row r="61" customFormat="false" ht="15" hidden="false" customHeight="false" outlineLevel="0" collapsed="false">
      <c r="A61" s="0" t="s">
        <v>166</v>
      </c>
      <c r="B61" s="0" t="s">
        <v>297</v>
      </c>
      <c r="C61" s="0" t="s">
        <v>298</v>
      </c>
      <c r="D61" s="0" t="s">
        <v>493</v>
      </c>
      <c r="E61" s="0" t="s">
        <v>114</v>
      </c>
      <c r="F61" s="0" t="s">
        <v>429</v>
      </c>
      <c r="G61" s="0" t="s">
        <v>416</v>
      </c>
      <c r="H61" s="0" t="n">
        <v>0</v>
      </c>
      <c r="I61" s="0" t="n">
        <v>5</v>
      </c>
      <c r="J61" s="0" t="n">
        <v>-3</v>
      </c>
      <c r="K61" s="0" t="s">
        <v>241</v>
      </c>
      <c r="L61" s="0" t="s">
        <v>298</v>
      </c>
      <c r="M61" s="28" t="b">
        <f aca="false">FALSE()</f>
        <v>0</v>
      </c>
      <c r="U61" s="0" t="n">
        <v>3.82</v>
      </c>
      <c r="V61" s="0" t="n">
        <v>8.09</v>
      </c>
      <c r="W61" s="0" t="n">
        <v>47.9</v>
      </c>
      <c r="X61" s="0" t="n">
        <v>3.82</v>
      </c>
      <c r="Y61" s="0" t="n">
        <v>3.09</v>
      </c>
      <c r="Z61" s="0" t="n">
        <v>3.82</v>
      </c>
      <c r="AA61" s="0" t="n">
        <v>3.09</v>
      </c>
      <c r="AB61" s="0" t="s">
        <v>235</v>
      </c>
      <c r="AC61" s="0" t="n">
        <v>1</v>
      </c>
      <c r="AD61" s="0" t="s">
        <v>236</v>
      </c>
      <c r="AE61" s="0" t="n">
        <v>1</v>
      </c>
      <c r="AF61" s="0" t="s">
        <v>297</v>
      </c>
      <c r="AG61" s="0" t="n">
        <v>0</v>
      </c>
      <c r="AH61" s="0" t="n">
        <v>29</v>
      </c>
      <c r="AI61" s="0" t="s">
        <v>350</v>
      </c>
      <c r="AJ61" s="0" t="n">
        <v>7</v>
      </c>
      <c r="AK61" s="0" t="n">
        <v>2</v>
      </c>
    </row>
    <row r="62" customFormat="false" ht="15" hidden="false" customHeight="false" outlineLevel="0" collapsed="false">
      <c r="A62" s="0" t="s">
        <v>166</v>
      </c>
      <c r="B62" s="0" t="s">
        <v>299</v>
      </c>
      <c r="C62" s="0" t="s">
        <v>300</v>
      </c>
      <c r="D62" s="0" t="s">
        <v>494</v>
      </c>
      <c r="E62" s="0" t="s">
        <v>443</v>
      </c>
      <c r="F62" s="0" t="s">
        <v>427</v>
      </c>
      <c r="G62" s="0" t="s">
        <v>110</v>
      </c>
      <c r="H62" s="0" t="n">
        <v>2</v>
      </c>
      <c r="I62" s="0" t="n">
        <v>6</v>
      </c>
      <c r="J62" s="0" t="n">
        <v>-2</v>
      </c>
      <c r="K62" s="0" t="s">
        <v>299</v>
      </c>
      <c r="L62" s="0" t="s">
        <v>300</v>
      </c>
      <c r="M62" s="28" t="b">
        <f aca="false">FALSE()</f>
        <v>0</v>
      </c>
      <c r="U62" s="0" t="n">
        <v>5.3</v>
      </c>
      <c r="V62" s="0" t="n">
        <v>10.41</v>
      </c>
      <c r="W62" s="0" t="n">
        <v>47.9</v>
      </c>
      <c r="X62" s="0" t="n">
        <v>3.3</v>
      </c>
      <c r="Y62" s="0" t="n">
        <v>4.41</v>
      </c>
      <c r="Z62" s="0" t="n">
        <v>3.3</v>
      </c>
      <c r="AA62" s="0" t="n">
        <v>4.41</v>
      </c>
      <c r="AB62" s="0" t="s">
        <v>233</v>
      </c>
      <c r="AC62" s="0" t="n">
        <v>0</v>
      </c>
      <c r="AD62" s="0" t="s">
        <v>237</v>
      </c>
      <c r="AF62" s="0" t="s">
        <v>300</v>
      </c>
      <c r="AG62" s="0" t="n">
        <v>0</v>
      </c>
      <c r="AH62" s="0" t="n">
        <v>14</v>
      </c>
      <c r="AI62" s="0" t="s">
        <v>350</v>
      </c>
      <c r="AJ62" s="0" t="n">
        <v>9.6</v>
      </c>
      <c r="AK62" s="0" t="n">
        <v>3.6</v>
      </c>
    </row>
    <row r="63" customFormat="false" ht="15" hidden="false" customHeight="false" outlineLevel="0" collapsed="false">
      <c r="A63" s="0" t="s">
        <v>166</v>
      </c>
      <c r="B63" s="0" t="s">
        <v>301</v>
      </c>
      <c r="C63" s="0" t="s">
        <v>302</v>
      </c>
      <c r="D63" s="0" t="s">
        <v>495</v>
      </c>
      <c r="E63" s="0" t="s">
        <v>429</v>
      </c>
      <c r="F63" s="0" t="s">
        <v>444</v>
      </c>
      <c r="G63" s="0" t="s">
        <v>144</v>
      </c>
      <c r="H63" s="0" t="n">
        <v>6</v>
      </c>
      <c r="I63" s="0" t="n">
        <v>8</v>
      </c>
      <c r="J63" s="0" t="n">
        <v>6</v>
      </c>
      <c r="K63" s="0" t="s">
        <v>241</v>
      </c>
      <c r="L63" s="0" t="s">
        <v>301</v>
      </c>
      <c r="M63" s="28" t="b">
        <f aca="false">FALSE()</f>
        <v>0</v>
      </c>
      <c r="U63" s="0" t="n">
        <v>4.41</v>
      </c>
      <c r="V63" s="0" t="n">
        <v>10.83</v>
      </c>
      <c r="W63" s="0" t="n">
        <v>47.3</v>
      </c>
      <c r="X63" s="0" t="n">
        <v>1.59</v>
      </c>
      <c r="Y63" s="0" t="n">
        <v>2.83</v>
      </c>
      <c r="Z63" s="0" t="n">
        <v>-1.59</v>
      </c>
      <c r="AA63" s="0" t="n">
        <v>2.83</v>
      </c>
      <c r="AB63" s="0" t="s">
        <v>237</v>
      </c>
      <c r="AD63" s="0" t="s">
        <v>237</v>
      </c>
      <c r="AF63" s="0" t="s">
        <v>301</v>
      </c>
      <c r="AG63" s="0" t="n">
        <v>0</v>
      </c>
      <c r="AH63" s="0" t="n">
        <v>40</v>
      </c>
      <c r="AI63" s="0" t="s">
        <v>350</v>
      </c>
      <c r="AJ63" s="0" t="n">
        <v>7.6</v>
      </c>
      <c r="AK63" s="0" t="n">
        <v>0.4</v>
      </c>
    </row>
    <row r="64" customFormat="false" ht="15" hidden="false" customHeight="false" outlineLevel="0" collapsed="false">
      <c r="A64" s="0" t="s">
        <v>166</v>
      </c>
      <c r="B64" s="0" t="s">
        <v>303</v>
      </c>
      <c r="C64" s="0" t="s">
        <v>304</v>
      </c>
      <c r="D64" s="0" t="s">
        <v>496</v>
      </c>
      <c r="E64" s="0" t="s">
        <v>418</v>
      </c>
      <c r="F64" s="0" t="s">
        <v>114</v>
      </c>
      <c r="G64" s="0" t="s">
        <v>419</v>
      </c>
      <c r="H64" s="0" t="n">
        <v>4</v>
      </c>
      <c r="I64" s="0" t="n">
        <v>10</v>
      </c>
      <c r="J64" s="0" t="n">
        <v>-2</v>
      </c>
      <c r="K64" s="0" t="s">
        <v>304</v>
      </c>
      <c r="L64" s="0" t="s">
        <v>304</v>
      </c>
      <c r="M64" s="28" t="b">
        <f aca="false">FALSE()</f>
        <v>0</v>
      </c>
      <c r="U64" s="0" t="n">
        <v>4.01</v>
      </c>
      <c r="V64" s="0" t="n">
        <v>10.24</v>
      </c>
      <c r="W64" s="0" t="n">
        <v>44.4</v>
      </c>
      <c r="X64" s="0" t="n">
        <v>0.00999999999999979</v>
      </c>
      <c r="Y64" s="0" t="n">
        <v>0.24</v>
      </c>
      <c r="Z64" s="0" t="n">
        <v>0.00999999999999979</v>
      </c>
      <c r="AA64" s="0" t="n">
        <v>0.24</v>
      </c>
      <c r="AB64" s="0" t="s">
        <v>235</v>
      </c>
      <c r="AC64" s="0" t="n">
        <v>0</v>
      </c>
      <c r="AD64" s="0" t="s">
        <v>237</v>
      </c>
      <c r="AF64" s="0" t="s">
        <v>304</v>
      </c>
      <c r="AG64" s="0" t="n">
        <v>1</v>
      </c>
      <c r="AH64" s="0" t="n">
        <v>30</v>
      </c>
      <c r="AI64" s="0" t="s">
        <v>350</v>
      </c>
      <c r="AJ64" s="0" t="n">
        <v>9.4</v>
      </c>
      <c r="AK64" s="0" t="n">
        <v>0.6</v>
      </c>
    </row>
    <row r="65" customFormat="false" ht="15" hidden="false" customHeight="false" outlineLevel="0" collapsed="false">
      <c r="A65" s="0" t="s">
        <v>166</v>
      </c>
      <c r="B65" s="0" t="s">
        <v>305</v>
      </c>
      <c r="C65" s="0" t="s">
        <v>306</v>
      </c>
      <c r="D65" s="0" t="s">
        <v>497</v>
      </c>
      <c r="E65" s="0" t="s">
        <v>441</v>
      </c>
      <c r="F65" s="0" t="s">
        <v>434</v>
      </c>
      <c r="G65" s="0" t="s">
        <v>498</v>
      </c>
      <c r="H65" s="0" t="n">
        <v>6</v>
      </c>
      <c r="I65" s="0" t="n">
        <v>10</v>
      </c>
      <c r="J65" s="0" t="n">
        <v>4</v>
      </c>
      <c r="K65" s="0" t="s">
        <v>305</v>
      </c>
      <c r="L65" s="0" t="s">
        <v>305</v>
      </c>
      <c r="M65" s="28" t="b">
        <f aca="false">FALSE()</f>
        <v>0</v>
      </c>
      <c r="U65" s="0" t="n">
        <v>4.68</v>
      </c>
      <c r="V65" s="0" t="n">
        <v>10.18</v>
      </c>
      <c r="W65" s="0" t="n">
        <v>43</v>
      </c>
      <c r="X65" s="0" t="n">
        <v>1.32</v>
      </c>
      <c r="Y65" s="0" t="n">
        <v>0.18</v>
      </c>
      <c r="Z65" s="0" t="n">
        <v>-1.32</v>
      </c>
      <c r="AA65" s="0" t="n">
        <v>0.18</v>
      </c>
      <c r="AB65" s="0" t="s">
        <v>237</v>
      </c>
      <c r="AD65" s="0" t="s">
        <v>237</v>
      </c>
      <c r="AF65" s="0" t="s">
        <v>306</v>
      </c>
      <c r="AG65" s="0" t="n">
        <v>0</v>
      </c>
      <c r="AH65" s="0" t="n">
        <v>26</v>
      </c>
      <c r="AI65" s="0" t="s">
        <v>350</v>
      </c>
      <c r="AJ65" s="0" t="n">
        <v>12.6</v>
      </c>
      <c r="AK65" s="0" t="n">
        <v>2.6</v>
      </c>
    </row>
    <row r="66" customFormat="false" ht="15" hidden="false" customHeight="false" outlineLevel="0" collapsed="false">
      <c r="A66" s="0" t="s">
        <v>166</v>
      </c>
      <c r="B66" s="0" t="s">
        <v>167</v>
      </c>
      <c r="C66" s="0" t="s">
        <v>168</v>
      </c>
      <c r="D66" s="0" t="s">
        <v>499</v>
      </c>
      <c r="E66" s="0" t="s">
        <v>411</v>
      </c>
      <c r="F66" s="0" t="s">
        <v>422</v>
      </c>
      <c r="G66" s="0" t="s">
        <v>86</v>
      </c>
      <c r="H66" s="0" t="n">
        <v>2</v>
      </c>
      <c r="I66" s="0" t="n">
        <v>9</v>
      </c>
      <c r="J66" s="0" t="n">
        <v>-1</v>
      </c>
      <c r="K66" s="0" t="s">
        <v>168</v>
      </c>
      <c r="L66" s="0" t="s">
        <v>168</v>
      </c>
      <c r="M66" s="28" t="b">
        <f aca="false">TRUE()</f>
        <v>1</v>
      </c>
      <c r="N66" s="0" t="s">
        <v>169</v>
      </c>
      <c r="O66" s="0" t="n">
        <v>2.22</v>
      </c>
      <c r="P66" s="0" t="n">
        <v>-1</v>
      </c>
      <c r="Q66" s="0" t="n">
        <v>-3.22</v>
      </c>
      <c r="R66" s="0" t="n">
        <v>0</v>
      </c>
      <c r="S66" s="0" t="n">
        <v>0</v>
      </c>
      <c r="T66" s="0" t="s">
        <v>76</v>
      </c>
      <c r="U66" s="0" t="n">
        <v>5.72</v>
      </c>
      <c r="V66" s="0" t="n">
        <v>10.13</v>
      </c>
      <c r="W66" s="0" t="n">
        <v>45.2</v>
      </c>
      <c r="X66" s="0" t="n">
        <v>3.72</v>
      </c>
      <c r="Y66" s="0" t="n">
        <v>1.13</v>
      </c>
      <c r="Z66" s="0" t="n">
        <v>3.72</v>
      </c>
      <c r="AA66" s="0" t="n">
        <v>1.13</v>
      </c>
      <c r="AB66" s="0" t="s">
        <v>233</v>
      </c>
      <c r="AC66" s="0" t="n">
        <v>0</v>
      </c>
      <c r="AD66" s="0" t="s">
        <v>237</v>
      </c>
      <c r="AF66" s="0" t="s">
        <v>169</v>
      </c>
      <c r="AG66" s="0" t="n">
        <v>0</v>
      </c>
      <c r="AH66" s="0" t="n">
        <v>37</v>
      </c>
      <c r="AI66" s="0" t="s">
        <v>350</v>
      </c>
      <c r="AJ66" s="0" t="n">
        <v>10.75</v>
      </c>
      <c r="AK66" s="0" t="n">
        <v>1.75</v>
      </c>
    </row>
    <row r="67" customFormat="false" ht="15" hidden="false" customHeight="false" outlineLevel="0" collapsed="false">
      <c r="A67" s="0" t="s">
        <v>166</v>
      </c>
      <c r="B67" s="0" t="s">
        <v>307</v>
      </c>
      <c r="C67" s="0" t="s">
        <v>308</v>
      </c>
      <c r="D67" s="0" t="s">
        <v>500</v>
      </c>
      <c r="E67" s="0" t="s">
        <v>411</v>
      </c>
      <c r="F67" s="0" t="s">
        <v>159</v>
      </c>
      <c r="G67" s="0" t="s">
        <v>159</v>
      </c>
      <c r="H67" s="0" t="n">
        <v>8</v>
      </c>
      <c r="I67" s="0" t="n">
        <v>8</v>
      </c>
      <c r="J67" s="0" t="n">
        <v>0</v>
      </c>
      <c r="K67" s="0" t="s">
        <v>308</v>
      </c>
      <c r="L67" s="0" t="s">
        <v>241</v>
      </c>
      <c r="M67" s="28" t="b">
        <f aca="false">FALSE()</f>
        <v>0</v>
      </c>
      <c r="U67" s="0" t="n">
        <v>5.95</v>
      </c>
      <c r="V67" s="0" t="n">
        <v>11.65</v>
      </c>
      <c r="W67" s="0" t="n">
        <v>44.1</v>
      </c>
      <c r="X67" s="0" t="n">
        <v>2.05</v>
      </c>
      <c r="Y67" s="0" t="n">
        <v>3.65</v>
      </c>
      <c r="Z67" s="0" t="n">
        <v>-2.05</v>
      </c>
      <c r="AA67" s="0" t="n">
        <v>3.65</v>
      </c>
      <c r="AB67" s="0" t="s">
        <v>233</v>
      </c>
      <c r="AC67" s="0" t="n">
        <v>1</v>
      </c>
      <c r="AD67" s="0" t="s">
        <v>234</v>
      </c>
      <c r="AE67" s="0" t="n">
        <v>0</v>
      </c>
      <c r="AF67" s="0" t="s">
        <v>308</v>
      </c>
      <c r="AG67" s="0" t="n">
        <v>1</v>
      </c>
      <c r="AH67" s="0" t="n">
        <v>33</v>
      </c>
      <c r="AI67" s="0" t="s">
        <v>350</v>
      </c>
      <c r="AJ67" s="0" t="n">
        <v>10.3</v>
      </c>
      <c r="AK67" s="0" t="n">
        <v>2.3</v>
      </c>
    </row>
    <row r="68" customFormat="false" ht="15" hidden="false" customHeight="false" outlineLevel="0" collapsed="false">
      <c r="A68" s="0" t="s">
        <v>170</v>
      </c>
      <c r="B68" s="0" t="s">
        <v>309</v>
      </c>
      <c r="C68" s="0" t="s">
        <v>310</v>
      </c>
      <c r="D68" s="0" t="s">
        <v>501</v>
      </c>
      <c r="E68" s="0" t="s">
        <v>441</v>
      </c>
      <c r="F68" s="0" t="s">
        <v>430</v>
      </c>
      <c r="G68" s="0" t="s">
        <v>434</v>
      </c>
      <c r="H68" s="0" t="n">
        <v>3</v>
      </c>
      <c r="I68" s="0" t="n">
        <v>6</v>
      </c>
      <c r="J68" s="0" t="n">
        <v>4</v>
      </c>
      <c r="K68" s="0" t="s">
        <v>309</v>
      </c>
      <c r="L68" s="0" t="s">
        <v>309</v>
      </c>
      <c r="M68" s="28" t="b">
        <f aca="false">FALSE()</f>
        <v>0</v>
      </c>
      <c r="U68" s="0" t="n">
        <v>3.53</v>
      </c>
      <c r="V68" s="0" t="n">
        <v>9.68</v>
      </c>
      <c r="W68" s="0" t="n">
        <v>47.9</v>
      </c>
      <c r="X68" s="0" t="n">
        <v>0.53</v>
      </c>
      <c r="Y68" s="0" t="n">
        <v>3.68</v>
      </c>
      <c r="Z68" s="0" t="n">
        <v>0.53</v>
      </c>
      <c r="AA68" s="0" t="n">
        <v>3.68</v>
      </c>
      <c r="AB68" s="0" t="s">
        <v>235</v>
      </c>
      <c r="AC68" s="0" t="n">
        <v>1</v>
      </c>
      <c r="AD68" s="0" t="s">
        <v>236</v>
      </c>
      <c r="AE68" s="0" t="n">
        <v>1</v>
      </c>
      <c r="AF68" s="0" t="s">
        <v>309</v>
      </c>
      <c r="AG68" s="0" t="n">
        <v>1</v>
      </c>
      <c r="AH68" s="0" t="n">
        <v>71</v>
      </c>
      <c r="AI68" s="0" t="s">
        <v>354</v>
      </c>
      <c r="AJ68" s="0" t="n">
        <v>8.93</v>
      </c>
      <c r="AK68" s="0" t="n">
        <v>2.93</v>
      </c>
      <c r="AL68" s="0" t="s">
        <v>355</v>
      </c>
      <c r="AM68" s="0" t="s">
        <v>357</v>
      </c>
      <c r="AN68" s="0" t="n">
        <v>1</v>
      </c>
      <c r="AO68" s="0" t="n">
        <v>0</v>
      </c>
    </row>
    <row r="69" customFormat="false" ht="15" hidden="false" customHeight="false" outlineLevel="0" collapsed="false">
      <c r="A69" s="0" t="s">
        <v>170</v>
      </c>
      <c r="B69" s="0" t="s">
        <v>311</v>
      </c>
      <c r="C69" s="0" t="s">
        <v>312</v>
      </c>
      <c r="D69" s="0" t="s">
        <v>502</v>
      </c>
      <c r="E69" s="0" t="s">
        <v>441</v>
      </c>
      <c r="F69" s="0" t="s">
        <v>153</v>
      </c>
      <c r="G69" s="0" t="s">
        <v>475</v>
      </c>
      <c r="H69" s="0" t="n">
        <v>5</v>
      </c>
      <c r="I69" s="0" t="n">
        <v>13</v>
      </c>
      <c r="J69" s="0" t="n">
        <v>5</v>
      </c>
      <c r="K69" s="0" t="s">
        <v>311</v>
      </c>
      <c r="L69" s="0" t="s">
        <v>311</v>
      </c>
      <c r="M69" s="28" t="b">
        <f aca="false">FALSE()</f>
        <v>0</v>
      </c>
      <c r="U69" s="0" t="n">
        <v>4.42</v>
      </c>
      <c r="V69" s="0" t="n">
        <v>9.27</v>
      </c>
      <c r="W69" s="0" t="n">
        <v>45.6</v>
      </c>
      <c r="X69" s="0" t="n">
        <v>0.58</v>
      </c>
      <c r="Y69" s="0" t="n">
        <v>3.73</v>
      </c>
      <c r="Z69" s="0" t="n">
        <v>-0.58</v>
      </c>
      <c r="AA69" s="0" t="n">
        <v>-3.73</v>
      </c>
      <c r="AB69" s="0" t="s">
        <v>237</v>
      </c>
      <c r="AD69" s="0" t="s">
        <v>236</v>
      </c>
      <c r="AE69" s="0" t="n">
        <v>0</v>
      </c>
      <c r="AF69" s="0" t="s">
        <v>311</v>
      </c>
      <c r="AG69" s="0" t="n">
        <v>1</v>
      </c>
      <c r="AH69" s="0" t="n">
        <v>30</v>
      </c>
      <c r="AI69" s="0" t="s">
        <v>350</v>
      </c>
      <c r="AJ69" s="0" t="n">
        <v>11.25</v>
      </c>
      <c r="AK69" s="0" t="n">
        <v>1.75</v>
      </c>
    </row>
    <row r="70" customFormat="false" ht="15" hidden="false" customHeight="false" outlineLevel="0" collapsed="false">
      <c r="A70" s="0" t="s">
        <v>170</v>
      </c>
      <c r="B70" s="0" t="s">
        <v>171</v>
      </c>
      <c r="C70" s="0" t="s">
        <v>172</v>
      </c>
      <c r="D70" s="0" t="s">
        <v>503</v>
      </c>
      <c r="E70" s="0" t="s">
        <v>441</v>
      </c>
      <c r="F70" s="0" t="s">
        <v>411</v>
      </c>
      <c r="G70" s="0" t="s">
        <v>173</v>
      </c>
      <c r="H70" s="0" t="n">
        <v>3</v>
      </c>
      <c r="I70" s="0" t="n">
        <v>8</v>
      </c>
      <c r="J70" s="0" t="n">
        <v>-6</v>
      </c>
      <c r="K70" s="0" t="s">
        <v>171</v>
      </c>
      <c r="L70" s="0" t="s">
        <v>172</v>
      </c>
      <c r="M70" s="28" t="b">
        <f aca="false">TRUE()</f>
        <v>1</v>
      </c>
      <c r="N70" s="0" t="s">
        <v>172</v>
      </c>
      <c r="O70" s="0" t="n">
        <v>2.02</v>
      </c>
      <c r="P70" s="0" t="n">
        <v>6</v>
      </c>
      <c r="Q70" s="0" t="n">
        <v>3.98</v>
      </c>
      <c r="R70" s="0" t="n">
        <v>1</v>
      </c>
      <c r="S70" s="0" t="n">
        <v>1</v>
      </c>
      <c r="T70" s="0" t="s">
        <v>76</v>
      </c>
      <c r="U70" s="0" t="n">
        <v>3.48</v>
      </c>
      <c r="V70" s="0" t="n">
        <v>8.29</v>
      </c>
      <c r="W70" s="0" t="n">
        <v>45.9</v>
      </c>
      <c r="X70" s="0" t="n">
        <v>0.48</v>
      </c>
      <c r="Y70" s="0" t="n">
        <v>0.289999999999999</v>
      </c>
      <c r="Z70" s="0" t="n">
        <v>0.48</v>
      </c>
      <c r="AA70" s="0" t="n">
        <v>0.289999999999999</v>
      </c>
      <c r="AB70" s="0" t="s">
        <v>235</v>
      </c>
      <c r="AC70" s="0" t="n">
        <v>1</v>
      </c>
      <c r="AD70" s="0" t="s">
        <v>236</v>
      </c>
      <c r="AE70" s="0" t="n">
        <v>1</v>
      </c>
      <c r="AF70" s="0" t="s">
        <v>172</v>
      </c>
      <c r="AG70" s="0" t="n">
        <v>0</v>
      </c>
      <c r="AH70" s="0" t="n">
        <v>13</v>
      </c>
      <c r="AI70" s="0" t="s">
        <v>350</v>
      </c>
      <c r="AJ70" s="0" t="n">
        <v>7.75</v>
      </c>
      <c r="AK70" s="0" t="n">
        <v>0.25</v>
      </c>
    </row>
    <row r="71" customFormat="false" ht="15" hidden="false" customHeight="false" outlineLevel="0" collapsed="false">
      <c r="A71" s="0" t="s">
        <v>170</v>
      </c>
      <c r="B71" s="0" t="s">
        <v>174</v>
      </c>
      <c r="C71" s="0" t="s">
        <v>175</v>
      </c>
      <c r="D71" s="0" t="s">
        <v>504</v>
      </c>
      <c r="E71" s="0" t="s">
        <v>415</v>
      </c>
      <c r="F71" s="0" t="s">
        <v>90</v>
      </c>
      <c r="G71" s="0" t="s">
        <v>176</v>
      </c>
      <c r="H71" s="0" t="n">
        <v>5</v>
      </c>
      <c r="I71" s="0" t="n">
        <v>10</v>
      </c>
      <c r="J71" s="0" t="n">
        <v>0</v>
      </c>
      <c r="K71" s="0" t="s">
        <v>174</v>
      </c>
      <c r="L71" s="0" t="s">
        <v>241</v>
      </c>
      <c r="M71" s="28" t="b">
        <f aca="false">TRUE()</f>
        <v>1</v>
      </c>
      <c r="N71" s="0" t="s">
        <v>174</v>
      </c>
      <c r="O71" s="0" t="n">
        <v>8.94</v>
      </c>
      <c r="P71" s="0" t="n">
        <v>0</v>
      </c>
      <c r="Q71" s="0" t="n">
        <v>-8.94</v>
      </c>
      <c r="R71" s="0" t="n">
        <v>0</v>
      </c>
      <c r="S71" s="0" t="n">
        <v>0</v>
      </c>
      <c r="T71" s="0" t="s">
        <v>76</v>
      </c>
      <c r="U71" s="0" t="n">
        <v>5.28</v>
      </c>
      <c r="V71" s="0" t="n">
        <v>13.44</v>
      </c>
      <c r="W71" s="0" t="n">
        <v>48.5</v>
      </c>
      <c r="X71" s="0" t="n">
        <v>0.28</v>
      </c>
      <c r="Y71" s="0" t="n">
        <v>3.44</v>
      </c>
      <c r="Z71" s="0" t="n">
        <v>0.28</v>
      </c>
      <c r="AA71" s="0" t="n">
        <v>3.44</v>
      </c>
      <c r="AB71" s="0" t="s">
        <v>233</v>
      </c>
      <c r="AC71" s="0" t="n">
        <v>1</v>
      </c>
      <c r="AD71" s="0" t="s">
        <v>234</v>
      </c>
      <c r="AE71" s="0" t="n">
        <v>0</v>
      </c>
      <c r="AF71" s="0" t="s">
        <v>174</v>
      </c>
      <c r="AG71" s="0" t="n">
        <v>1</v>
      </c>
      <c r="AH71" s="0" t="n">
        <v>91</v>
      </c>
      <c r="AI71" s="0" t="s">
        <v>354</v>
      </c>
      <c r="AJ71" s="0" t="n">
        <v>12.75</v>
      </c>
      <c r="AK71" s="0" t="n">
        <v>2.75</v>
      </c>
      <c r="AL71" s="0" t="s">
        <v>355</v>
      </c>
      <c r="AM71" s="0" t="s">
        <v>356</v>
      </c>
      <c r="AN71" s="0" t="n">
        <v>0</v>
      </c>
      <c r="AO71" s="0" t="n">
        <v>0</v>
      </c>
    </row>
    <row r="72" customFormat="false" ht="15" hidden="false" customHeight="false" outlineLevel="0" collapsed="false">
      <c r="A72" s="0" t="s">
        <v>170</v>
      </c>
      <c r="B72" s="0" t="s">
        <v>313</v>
      </c>
      <c r="C72" s="0" t="s">
        <v>314</v>
      </c>
      <c r="D72" s="0" t="s">
        <v>505</v>
      </c>
      <c r="E72" s="0" t="s">
        <v>430</v>
      </c>
      <c r="F72" s="0" t="s">
        <v>416</v>
      </c>
      <c r="G72" s="0" t="s">
        <v>138</v>
      </c>
      <c r="H72" s="0" t="n">
        <v>5</v>
      </c>
      <c r="I72" s="0" t="n">
        <v>8</v>
      </c>
      <c r="J72" s="0" t="n">
        <v>-2</v>
      </c>
      <c r="K72" s="0" t="s">
        <v>313</v>
      </c>
      <c r="L72" s="0" t="s">
        <v>314</v>
      </c>
      <c r="M72" s="28" t="b">
        <f aca="false">FALSE()</f>
        <v>0</v>
      </c>
      <c r="U72" s="0" t="n">
        <v>5.91</v>
      </c>
      <c r="V72" s="0" t="n">
        <v>10.38</v>
      </c>
      <c r="W72" s="0" t="n">
        <v>49.6</v>
      </c>
      <c r="X72" s="0" t="n">
        <v>0.91</v>
      </c>
      <c r="Y72" s="0" t="n">
        <v>2.38</v>
      </c>
      <c r="Z72" s="0" t="n">
        <v>0.91</v>
      </c>
      <c r="AA72" s="0" t="n">
        <v>2.38</v>
      </c>
      <c r="AB72" s="0" t="s">
        <v>233</v>
      </c>
      <c r="AC72" s="0" t="n">
        <v>1</v>
      </c>
      <c r="AD72" s="0" t="s">
        <v>237</v>
      </c>
      <c r="AF72" s="0" t="s">
        <v>313</v>
      </c>
      <c r="AG72" s="0" t="n">
        <v>1</v>
      </c>
      <c r="AH72" s="0" t="n">
        <v>23</v>
      </c>
      <c r="AI72" s="0" t="s">
        <v>350</v>
      </c>
      <c r="AJ72" s="0" t="n">
        <v>9.7</v>
      </c>
      <c r="AK72" s="0" t="n">
        <v>1.7</v>
      </c>
    </row>
    <row r="73" customFormat="false" ht="15" hidden="false" customHeight="false" outlineLevel="0" collapsed="false">
      <c r="A73" s="0" t="s">
        <v>170</v>
      </c>
      <c r="B73" s="0" t="s">
        <v>315</v>
      </c>
      <c r="C73" s="0" t="s">
        <v>306</v>
      </c>
      <c r="D73" s="0" t="s">
        <v>506</v>
      </c>
      <c r="E73" s="0" t="s">
        <v>441</v>
      </c>
      <c r="F73" s="0" t="s">
        <v>153</v>
      </c>
      <c r="G73" s="0" t="s">
        <v>435</v>
      </c>
      <c r="H73" s="0" t="n">
        <v>5</v>
      </c>
      <c r="I73" s="0" t="n">
        <v>9</v>
      </c>
      <c r="J73" s="0" t="n">
        <v>5</v>
      </c>
      <c r="K73" s="0" t="s">
        <v>315</v>
      </c>
      <c r="L73" s="0" t="s">
        <v>315</v>
      </c>
      <c r="M73" s="28" t="b">
        <f aca="false">FALSE()</f>
        <v>0</v>
      </c>
      <c r="U73" s="0" t="n">
        <v>4.24</v>
      </c>
      <c r="V73" s="0" t="n">
        <v>8.08</v>
      </c>
      <c r="W73" s="0" t="n">
        <v>48.4</v>
      </c>
      <c r="X73" s="0" t="n">
        <v>0.76</v>
      </c>
      <c r="Y73" s="0" t="n">
        <v>0.92</v>
      </c>
      <c r="Z73" s="0" t="n">
        <v>-0.76</v>
      </c>
      <c r="AA73" s="0" t="n">
        <v>-0.92</v>
      </c>
      <c r="AB73" s="0" t="s">
        <v>235</v>
      </c>
      <c r="AC73" s="0" t="n">
        <v>0</v>
      </c>
      <c r="AD73" s="0" t="s">
        <v>236</v>
      </c>
      <c r="AE73" s="0" t="n">
        <v>1</v>
      </c>
      <c r="AF73" s="0" t="s">
        <v>315</v>
      </c>
      <c r="AG73" s="0" t="n">
        <v>1</v>
      </c>
      <c r="AH73" s="0" t="n">
        <v>37</v>
      </c>
      <c r="AI73" s="0" t="s">
        <v>350</v>
      </c>
      <c r="AJ73" s="0" t="n">
        <v>9.75</v>
      </c>
      <c r="AK73" s="0" t="n">
        <v>0.75</v>
      </c>
    </row>
    <row r="74" customFormat="false" ht="15" hidden="false" customHeight="false" outlineLevel="0" collapsed="false">
      <c r="A74" s="0" t="s">
        <v>170</v>
      </c>
      <c r="B74" s="0" t="s">
        <v>177</v>
      </c>
      <c r="C74" s="0" t="s">
        <v>178</v>
      </c>
      <c r="D74" s="0" t="s">
        <v>507</v>
      </c>
      <c r="E74" s="0" t="s">
        <v>455</v>
      </c>
      <c r="F74" s="0" t="s">
        <v>90</v>
      </c>
      <c r="G74" s="0" t="s">
        <v>179</v>
      </c>
      <c r="H74" s="0" t="n">
        <v>5</v>
      </c>
      <c r="I74" s="0" t="n">
        <v>11</v>
      </c>
      <c r="J74" s="0" t="n">
        <v>-5</v>
      </c>
      <c r="K74" s="0" t="s">
        <v>177</v>
      </c>
      <c r="L74" s="0" t="s">
        <v>178</v>
      </c>
      <c r="M74" s="28" t="b">
        <f aca="false">TRUE()</f>
        <v>1</v>
      </c>
      <c r="N74" s="0" t="s">
        <v>177</v>
      </c>
      <c r="O74" s="0" t="n">
        <v>2.24</v>
      </c>
      <c r="P74" s="0" t="n">
        <v>-5</v>
      </c>
      <c r="Q74" s="0" t="n">
        <v>-7.24</v>
      </c>
      <c r="R74" s="0" t="n">
        <v>0</v>
      </c>
      <c r="S74" s="0" t="n">
        <v>0</v>
      </c>
      <c r="T74" s="0" t="s">
        <v>76</v>
      </c>
      <c r="U74" s="0" t="n">
        <v>4.55</v>
      </c>
      <c r="V74" s="0" t="n">
        <v>9.1</v>
      </c>
      <c r="W74" s="0" t="n">
        <v>50.8</v>
      </c>
      <c r="X74" s="0" t="n">
        <v>0.45</v>
      </c>
      <c r="Y74" s="0" t="n">
        <v>1.9</v>
      </c>
      <c r="Z74" s="0" t="n">
        <v>-0.45</v>
      </c>
      <c r="AA74" s="0" t="n">
        <v>-1.9</v>
      </c>
      <c r="AB74" s="0" t="s">
        <v>237</v>
      </c>
      <c r="AD74" s="0" t="s">
        <v>236</v>
      </c>
      <c r="AE74" s="0" t="n">
        <v>0</v>
      </c>
      <c r="AF74" s="0" t="s">
        <v>177</v>
      </c>
      <c r="AG74" s="0" t="n">
        <v>1</v>
      </c>
      <c r="AH74" s="0" t="n">
        <v>68</v>
      </c>
      <c r="AI74" s="0" t="s">
        <v>354</v>
      </c>
      <c r="AJ74" s="0" t="n">
        <v>8.35</v>
      </c>
      <c r="AK74" s="0" t="n">
        <v>2.65</v>
      </c>
      <c r="AL74" s="0" t="s">
        <v>355</v>
      </c>
      <c r="AM74" s="0" t="s">
        <v>360</v>
      </c>
      <c r="AN74" s="0" t="n">
        <v>0</v>
      </c>
      <c r="AO74" s="0" t="n">
        <v>0</v>
      </c>
    </row>
    <row r="75" customFormat="false" ht="15" hidden="false" customHeight="false" outlineLevel="0" collapsed="false">
      <c r="A75" s="0" t="s">
        <v>170</v>
      </c>
      <c r="B75" s="0" t="s">
        <v>316</v>
      </c>
      <c r="C75" s="0" t="s">
        <v>317</v>
      </c>
      <c r="D75" s="0" t="s">
        <v>508</v>
      </c>
      <c r="E75" s="0" t="s">
        <v>422</v>
      </c>
      <c r="F75" s="0" t="s">
        <v>122</v>
      </c>
      <c r="G75" s="0" t="s">
        <v>509</v>
      </c>
      <c r="H75" s="0" t="n">
        <v>6</v>
      </c>
      <c r="I75" s="0" t="n">
        <v>11</v>
      </c>
      <c r="J75" s="0" t="n">
        <v>3</v>
      </c>
      <c r="K75" s="0" t="s">
        <v>241</v>
      </c>
      <c r="L75" s="0" t="s">
        <v>316</v>
      </c>
      <c r="M75" s="28" t="b">
        <f aca="false">FALSE()</f>
        <v>0</v>
      </c>
      <c r="U75" s="0" t="n">
        <v>3.61</v>
      </c>
      <c r="V75" s="0" t="n">
        <v>7.78</v>
      </c>
      <c r="W75" s="0" t="n">
        <v>48.2</v>
      </c>
      <c r="X75" s="0" t="n">
        <v>2.39</v>
      </c>
      <c r="Y75" s="0" t="n">
        <v>3.22</v>
      </c>
      <c r="Z75" s="0" t="n">
        <v>-2.39</v>
      </c>
      <c r="AA75" s="0" t="n">
        <v>-3.22</v>
      </c>
      <c r="AB75" s="0" t="s">
        <v>235</v>
      </c>
      <c r="AC75" s="0" t="n">
        <v>0</v>
      </c>
      <c r="AD75" s="0" t="s">
        <v>236</v>
      </c>
      <c r="AE75" s="0" t="n">
        <v>0</v>
      </c>
      <c r="AF75" s="0" t="s">
        <v>316</v>
      </c>
      <c r="AG75" s="0" t="n">
        <v>0</v>
      </c>
      <c r="AH75" s="0" t="n">
        <v>29</v>
      </c>
      <c r="AI75" s="0" t="s">
        <v>350</v>
      </c>
      <c r="AJ75" s="0" t="n">
        <v>6.47</v>
      </c>
      <c r="AK75" s="0" t="n">
        <v>4.53</v>
      </c>
    </row>
    <row r="76" customFormat="false" ht="15" hidden="false" customHeight="false" outlineLevel="0" collapsed="false">
      <c r="A76" s="0" t="s">
        <v>180</v>
      </c>
      <c r="B76" s="0" t="s">
        <v>318</v>
      </c>
      <c r="C76" s="0" t="s">
        <v>319</v>
      </c>
      <c r="D76" s="0" t="s">
        <v>510</v>
      </c>
      <c r="E76" s="0" t="s">
        <v>117</v>
      </c>
      <c r="F76" s="0" t="s">
        <v>427</v>
      </c>
      <c r="G76" s="0" t="s">
        <v>144</v>
      </c>
      <c r="H76" s="0" t="n">
        <v>2</v>
      </c>
      <c r="I76" s="0" t="n">
        <v>8</v>
      </c>
      <c r="J76" s="0" t="n">
        <v>6</v>
      </c>
      <c r="K76" s="0" t="s">
        <v>318</v>
      </c>
      <c r="L76" s="0" t="s">
        <v>318</v>
      </c>
      <c r="M76" s="28" t="b">
        <f aca="false">FALSE()</f>
        <v>0</v>
      </c>
      <c r="U76" s="0" t="n">
        <v>3.78</v>
      </c>
      <c r="V76" s="0" t="n">
        <v>7.95</v>
      </c>
      <c r="W76" s="0" t="n">
        <v>44</v>
      </c>
      <c r="X76" s="0" t="n">
        <v>1.78</v>
      </c>
      <c r="Y76" s="0" t="n">
        <v>0.0499999999999998</v>
      </c>
      <c r="Z76" s="0" t="n">
        <v>1.78</v>
      </c>
      <c r="AA76" s="0" t="n">
        <v>-0.0499999999999998</v>
      </c>
      <c r="AB76" s="0" t="s">
        <v>235</v>
      </c>
      <c r="AC76" s="0" t="n">
        <v>1</v>
      </c>
      <c r="AD76" s="0" t="s">
        <v>236</v>
      </c>
      <c r="AE76" s="0" t="n">
        <v>1</v>
      </c>
      <c r="AF76" s="0" t="s">
        <v>319</v>
      </c>
      <c r="AG76" s="0" t="n">
        <v>0</v>
      </c>
      <c r="AH76" s="0" t="n">
        <v>29</v>
      </c>
      <c r="AI76" s="0" t="s">
        <v>350</v>
      </c>
      <c r="AJ76" s="0" t="n">
        <v>8.9</v>
      </c>
      <c r="AK76" s="0" t="n">
        <v>0.9</v>
      </c>
    </row>
    <row r="77" customFormat="false" ht="15" hidden="false" customHeight="false" outlineLevel="0" collapsed="false">
      <c r="A77" s="0" t="s">
        <v>180</v>
      </c>
      <c r="B77" s="0" t="s">
        <v>320</v>
      </c>
      <c r="C77" s="0" t="s">
        <v>321</v>
      </c>
      <c r="D77" s="0" t="s">
        <v>511</v>
      </c>
      <c r="E77" s="0" t="s">
        <v>424</v>
      </c>
      <c r="F77" s="0" t="s">
        <v>90</v>
      </c>
      <c r="G77" s="0" t="s">
        <v>512</v>
      </c>
      <c r="H77" s="0" t="n">
        <v>5</v>
      </c>
      <c r="I77" s="0" t="n">
        <v>10</v>
      </c>
      <c r="J77" s="0" t="n">
        <v>6</v>
      </c>
      <c r="K77" s="0" t="s">
        <v>321</v>
      </c>
      <c r="L77" s="0" t="s">
        <v>320</v>
      </c>
      <c r="M77" s="28" t="b">
        <f aca="false">FALSE()</f>
        <v>0</v>
      </c>
      <c r="U77" s="0" t="n">
        <v>3.24</v>
      </c>
      <c r="V77" s="0" t="n">
        <v>11.06</v>
      </c>
      <c r="W77" s="0" t="n">
        <v>47.4</v>
      </c>
      <c r="X77" s="0" t="n">
        <v>1.76</v>
      </c>
      <c r="Y77" s="0" t="n">
        <v>1.06</v>
      </c>
      <c r="Z77" s="0" t="n">
        <v>-1.76</v>
      </c>
      <c r="AA77" s="0" t="n">
        <v>1.06</v>
      </c>
      <c r="AB77" s="0" t="s">
        <v>235</v>
      </c>
      <c r="AC77" s="0" t="n">
        <v>0</v>
      </c>
      <c r="AD77" s="0" t="s">
        <v>237</v>
      </c>
      <c r="AF77" s="0" t="s">
        <v>320</v>
      </c>
      <c r="AG77" s="0" t="n">
        <v>0</v>
      </c>
      <c r="AH77" s="0" t="n">
        <v>39</v>
      </c>
      <c r="AI77" s="0" t="s">
        <v>350</v>
      </c>
      <c r="AJ77" s="0" t="n">
        <v>9.6</v>
      </c>
      <c r="AK77" s="0" t="n">
        <v>0.4</v>
      </c>
    </row>
    <row r="78" customFormat="false" ht="15" hidden="false" customHeight="false" outlineLevel="0" collapsed="false">
      <c r="A78" s="0" t="s">
        <v>180</v>
      </c>
      <c r="B78" s="0" t="s">
        <v>181</v>
      </c>
      <c r="C78" s="0" t="s">
        <v>182</v>
      </c>
      <c r="D78" s="0" t="s">
        <v>513</v>
      </c>
      <c r="E78" s="0" t="s">
        <v>415</v>
      </c>
      <c r="F78" s="0" t="s">
        <v>430</v>
      </c>
      <c r="G78" s="0" t="s">
        <v>79</v>
      </c>
      <c r="H78" s="0" t="n">
        <v>3</v>
      </c>
      <c r="I78" s="0" t="n">
        <v>8</v>
      </c>
      <c r="J78" s="0" t="n">
        <v>2</v>
      </c>
      <c r="K78" s="0" t="s">
        <v>181</v>
      </c>
      <c r="L78" s="0" t="s">
        <v>181</v>
      </c>
      <c r="M78" s="28" t="b">
        <f aca="false">TRUE()</f>
        <v>1</v>
      </c>
      <c r="N78" s="0" t="s">
        <v>181</v>
      </c>
      <c r="O78" s="0" t="n">
        <v>2.76</v>
      </c>
      <c r="P78" s="0" t="n">
        <v>2</v>
      </c>
      <c r="Q78" s="0" t="n">
        <v>-0.76</v>
      </c>
      <c r="R78" s="0" t="n">
        <v>0</v>
      </c>
      <c r="S78" s="0" t="n">
        <v>1</v>
      </c>
      <c r="T78" s="0" t="s">
        <v>76</v>
      </c>
      <c r="U78" s="0" t="n">
        <v>3.08</v>
      </c>
      <c r="V78" s="0" t="n">
        <v>8.73</v>
      </c>
      <c r="W78" s="0" t="n">
        <v>41.5</v>
      </c>
      <c r="X78" s="0" t="n">
        <v>0.0800000000000001</v>
      </c>
      <c r="Y78" s="0" t="n">
        <v>0.73</v>
      </c>
      <c r="Z78" s="0" t="n">
        <v>0.0800000000000001</v>
      </c>
      <c r="AA78" s="0" t="n">
        <v>0.73</v>
      </c>
      <c r="AB78" s="0" t="s">
        <v>235</v>
      </c>
      <c r="AC78" s="0" t="n">
        <v>1</v>
      </c>
      <c r="AD78" s="0" t="s">
        <v>236</v>
      </c>
      <c r="AE78" s="0" t="n">
        <v>1</v>
      </c>
      <c r="AF78" s="0" t="s">
        <v>181</v>
      </c>
      <c r="AG78" s="0" t="n">
        <v>1</v>
      </c>
      <c r="AH78" s="0" t="n">
        <v>55</v>
      </c>
      <c r="AI78" s="0" t="s">
        <v>351</v>
      </c>
      <c r="AJ78" s="0" t="n">
        <v>9.23</v>
      </c>
      <c r="AK78" s="0" t="n">
        <v>1.23</v>
      </c>
      <c r="AL78" s="0" t="s">
        <v>352</v>
      </c>
      <c r="AM78" s="0" t="s">
        <v>358</v>
      </c>
      <c r="AN78" s="0" t="n">
        <v>1</v>
      </c>
      <c r="AO78" s="0" t="n">
        <v>0</v>
      </c>
    </row>
    <row r="79" customFormat="false" ht="15" hidden="false" customHeight="false" outlineLevel="0" collapsed="false">
      <c r="A79" s="0" t="s">
        <v>180</v>
      </c>
      <c r="B79" s="0" t="s">
        <v>322</v>
      </c>
      <c r="C79" s="0" t="s">
        <v>323</v>
      </c>
      <c r="D79" s="0" t="s">
        <v>514</v>
      </c>
      <c r="E79" s="0" t="s">
        <v>427</v>
      </c>
      <c r="F79" s="0" t="s">
        <v>485</v>
      </c>
      <c r="G79" s="0" t="s">
        <v>448</v>
      </c>
      <c r="H79" s="0" t="n">
        <v>5</v>
      </c>
      <c r="I79" s="0" t="n">
        <v>10</v>
      </c>
      <c r="J79" s="0" t="n">
        <v>-4</v>
      </c>
      <c r="K79" s="0" t="s">
        <v>322</v>
      </c>
      <c r="L79" s="0" t="s">
        <v>323</v>
      </c>
      <c r="M79" s="28" t="b">
        <f aca="false">FALSE()</f>
        <v>0</v>
      </c>
      <c r="U79" s="0" t="n">
        <v>6.31</v>
      </c>
      <c r="V79" s="0" t="n">
        <v>11.81</v>
      </c>
      <c r="W79" s="0" t="n">
        <v>47.4</v>
      </c>
      <c r="X79" s="0" t="n">
        <v>1.31</v>
      </c>
      <c r="Y79" s="0" t="n">
        <v>1.81</v>
      </c>
      <c r="Z79" s="0" t="n">
        <v>1.31</v>
      </c>
      <c r="AA79" s="0" t="n">
        <v>1.81</v>
      </c>
      <c r="AB79" s="0" t="s">
        <v>233</v>
      </c>
      <c r="AC79" s="0" t="n">
        <v>1</v>
      </c>
      <c r="AD79" s="0" t="s">
        <v>234</v>
      </c>
      <c r="AE79" s="0" t="n">
        <v>0</v>
      </c>
      <c r="AF79" s="0" t="s">
        <v>322</v>
      </c>
      <c r="AG79" s="0" t="n">
        <v>1</v>
      </c>
      <c r="AH79" s="0" t="n">
        <v>71</v>
      </c>
      <c r="AI79" s="0" t="s">
        <v>354</v>
      </c>
      <c r="AJ79" s="0" t="n">
        <v>10.83</v>
      </c>
      <c r="AK79" s="0" t="n">
        <v>0.83</v>
      </c>
      <c r="AL79" s="0" t="s">
        <v>355</v>
      </c>
      <c r="AM79" s="0" t="s">
        <v>361</v>
      </c>
      <c r="AN79" s="0" t="n">
        <v>0</v>
      </c>
      <c r="AO79" s="0" t="n">
        <v>0</v>
      </c>
    </row>
    <row r="80" customFormat="false" ht="15" hidden="false" customHeight="false" outlineLevel="0" collapsed="false">
      <c r="A80" s="0" t="s">
        <v>180</v>
      </c>
      <c r="B80" s="0" t="s">
        <v>183</v>
      </c>
      <c r="C80" s="0" t="s">
        <v>184</v>
      </c>
      <c r="D80" s="0" t="s">
        <v>515</v>
      </c>
      <c r="E80" s="0" t="s">
        <v>415</v>
      </c>
      <c r="F80" s="0" t="s">
        <v>122</v>
      </c>
      <c r="G80" s="0" t="s">
        <v>185</v>
      </c>
      <c r="H80" s="0" t="n">
        <v>6</v>
      </c>
      <c r="I80" s="0" t="n">
        <v>16</v>
      </c>
      <c r="J80" s="0" t="n">
        <v>6</v>
      </c>
      <c r="K80" s="0" t="s">
        <v>183</v>
      </c>
      <c r="L80" s="0" t="s">
        <v>183</v>
      </c>
      <c r="M80" s="28" t="b">
        <f aca="false">TRUE()</f>
        <v>1</v>
      </c>
      <c r="N80" s="0" t="s">
        <v>183</v>
      </c>
      <c r="O80" s="0" t="n">
        <v>6</v>
      </c>
      <c r="P80" s="0" t="n">
        <v>6</v>
      </c>
      <c r="Q80" s="0" t="n">
        <v>0</v>
      </c>
      <c r="R80" s="0" t="n">
        <v>1</v>
      </c>
      <c r="S80" s="0" t="n">
        <v>1</v>
      </c>
      <c r="T80" s="0" t="s">
        <v>76</v>
      </c>
      <c r="U80" s="0" t="n">
        <v>4.21</v>
      </c>
      <c r="V80" s="0" t="n">
        <v>8.58</v>
      </c>
      <c r="W80" s="0" t="n">
        <v>45.1</v>
      </c>
      <c r="X80" s="0" t="n">
        <v>1.79</v>
      </c>
      <c r="Y80" s="0" t="n">
        <v>7.42</v>
      </c>
      <c r="Z80" s="0" t="n">
        <v>-1.79</v>
      </c>
      <c r="AA80" s="0" t="n">
        <v>-7.42</v>
      </c>
      <c r="AB80" s="0" t="s">
        <v>235</v>
      </c>
      <c r="AC80" s="0" t="n">
        <v>0</v>
      </c>
      <c r="AD80" s="0" t="s">
        <v>236</v>
      </c>
      <c r="AE80" s="0" t="n">
        <v>0</v>
      </c>
      <c r="AF80" s="0" t="s">
        <v>183</v>
      </c>
      <c r="AG80" s="0" t="n">
        <v>1</v>
      </c>
      <c r="AH80" s="0" t="n">
        <v>73</v>
      </c>
      <c r="AI80" s="0" t="s">
        <v>354</v>
      </c>
      <c r="AJ80" s="0" t="n">
        <v>11.83</v>
      </c>
      <c r="AK80" s="0" t="n">
        <v>4.17</v>
      </c>
      <c r="AL80" s="0" t="s">
        <v>355</v>
      </c>
      <c r="AM80" s="0" t="s">
        <v>353</v>
      </c>
      <c r="AN80" s="0" t="n">
        <v>1</v>
      </c>
      <c r="AO80" s="0" t="n">
        <v>1</v>
      </c>
    </row>
    <row r="81" customFormat="false" ht="15" hidden="false" customHeight="false" outlineLevel="0" collapsed="false">
      <c r="A81" s="0" t="s">
        <v>180</v>
      </c>
      <c r="B81" s="0" t="s">
        <v>186</v>
      </c>
      <c r="C81" s="0" t="s">
        <v>187</v>
      </c>
      <c r="D81" s="0" t="s">
        <v>516</v>
      </c>
      <c r="E81" s="0" t="s">
        <v>418</v>
      </c>
      <c r="F81" s="0" t="s">
        <v>411</v>
      </c>
      <c r="G81" s="0" t="s">
        <v>188</v>
      </c>
      <c r="H81" s="0" t="n">
        <v>3</v>
      </c>
      <c r="I81" s="0" t="n">
        <v>4</v>
      </c>
      <c r="J81" s="0" t="n">
        <v>-2</v>
      </c>
      <c r="K81" s="0" t="s">
        <v>187</v>
      </c>
      <c r="L81" s="0" t="s">
        <v>187</v>
      </c>
      <c r="M81" s="28" t="b">
        <f aca="false">TRUE()</f>
        <v>1</v>
      </c>
      <c r="N81" s="0" t="s">
        <v>186</v>
      </c>
      <c r="O81" s="0" t="n">
        <v>2.34</v>
      </c>
      <c r="P81" s="0" t="n">
        <v>-2</v>
      </c>
      <c r="Q81" s="0" t="n">
        <v>-4.34</v>
      </c>
      <c r="R81" s="0" t="n">
        <v>0</v>
      </c>
      <c r="S81" s="0" t="n">
        <v>0</v>
      </c>
      <c r="T81" s="0" t="s">
        <v>76</v>
      </c>
      <c r="U81" s="0" t="n">
        <v>4.29</v>
      </c>
      <c r="V81" s="0" t="n">
        <v>11.05</v>
      </c>
      <c r="W81" s="0" t="n">
        <v>47.4</v>
      </c>
      <c r="X81" s="0" t="n">
        <v>1.29</v>
      </c>
      <c r="Y81" s="0" t="n">
        <v>7.05</v>
      </c>
      <c r="Z81" s="0" t="n">
        <v>1.29</v>
      </c>
      <c r="AA81" s="0" t="n">
        <v>7.05</v>
      </c>
      <c r="AB81" s="0" t="s">
        <v>237</v>
      </c>
      <c r="AD81" s="0" t="s">
        <v>237</v>
      </c>
      <c r="AF81" s="0" t="s">
        <v>186</v>
      </c>
      <c r="AG81" s="0" t="n">
        <v>0</v>
      </c>
      <c r="AH81" s="0" t="n">
        <v>64</v>
      </c>
      <c r="AI81" s="0" t="s">
        <v>351</v>
      </c>
      <c r="AJ81" s="0" t="n">
        <v>9.9</v>
      </c>
      <c r="AK81" s="0" t="n">
        <v>5.9</v>
      </c>
      <c r="AL81" s="0" t="s">
        <v>352</v>
      </c>
      <c r="AM81" s="0" t="s">
        <v>353</v>
      </c>
      <c r="AN81" s="0" t="n">
        <v>0</v>
      </c>
      <c r="AO81" s="0" t="n">
        <v>0</v>
      </c>
    </row>
    <row r="82" customFormat="false" ht="15" hidden="false" customHeight="false" outlineLevel="0" collapsed="false">
      <c r="A82" s="0" t="s">
        <v>180</v>
      </c>
      <c r="B82" s="0" t="s">
        <v>324</v>
      </c>
      <c r="C82" s="0" t="s">
        <v>325</v>
      </c>
      <c r="D82" s="0" t="s">
        <v>517</v>
      </c>
      <c r="E82" s="0" t="s">
        <v>104</v>
      </c>
      <c r="F82" s="0" t="s">
        <v>415</v>
      </c>
      <c r="G82" s="0" t="s">
        <v>518</v>
      </c>
      <c r="H82" s="0" t="n">
        <v>3</v>
      </c>
      <c r="I82" s="0" t="n">
        <v>11</v>
      </c>
      <c r="J82" s="0" t="n">
        <v>7</v>
      </c>
      <c r="K82" s="0" t="s">
        <v>325</v>
      </c>
      <c r="L82" s="0" t="s">
        <v>324</v>
      </c>
      <c r="M82" s="28" t="b">
        <f aca="false">FALSE()</f>
        <v>0</v>
      </c>
      <c r="U82" s="0" t="n">
        <v>3.64</v>
      </c>
      <c r="V82" s="0" t="n">
        <v>9</v>
      </c>
      <c r="W82" s="0" t="n">
        <v>47.4</v>
      </c>
      <c r="X82" s="0" t="n">
        <v>0.64</v>
      </c>
      <c r="Y82" s="0" t="n">
        <v>2</v>
      </c>
      <c r="Z82" s="0" t="n">
        <v>0.64</v>
      </c>
      <c r="AA82" s="0" t="n">
        <v>-2</v>
      </c>
      <c r="AB82" s="0" t="s">
        <v>235</v>
      </c>
      <c r="AC82" s="0" t="n">
        <v>1</v>
      </c>
      <c r="AD82" s="0" t="s">
        <v>236</v>
      </c>
      <c r="AE82" s="0" t="n">
        <v>0</v>
      </c>
      <c r="AF82" s="0" t="s">
        <v>324</v>
      </c>
      <c r="AG82" s="0" t="n">
        <v>0</v>
      </c>
      <c r="AH82" s="0" t="n">
        <v>30</v>
      </c>
      <c r="AI82" s="0" t="s">
        <v>350</v>
      </c>
      <c r="AJ82" s="0" t="n">
        <v>8.8</v>
      </c>
      <c r="AK82" s="0" t="n">
        <v>2.2</v>
      </c>
    </row>
    <row r="83" customFormat="false" ht="15" hidden="false" customHeight="false" outlineLevel="0" collapsed="false">
      <c r="A83" s="0" t="s">
        <v>180</v>
      </c>
      <c r="B83" s="0" t="s">
        <v>326</v>
      </c>
      <c r="C83" s="0" t="s">
        <v>327</v>
      </c>
      <c r="D83" s="0" t="s">
        <v>519</v>
      </c>
      <c r="E83" s="0" t="s">
        <v>411</v>
      </c>
      <c r="F83" s="0" t="s">
        <v>138</v>
      </c>
      <c r="G83" s="0" t="s">
        <v>520</v>
      </c>
      <c r="H83" s="0" t="n">
        <v>8</v>
      </c>
      <c r="I83" s="0" t="n">
        <v>15</v>
      </c>
      <c r="J83" s="0" t="n">
        <v>-1</v>
      </c>
      <c r="K83" s="0" t="s">
        <v>327</v>
      </c>
      <c r="L83" s="0" t="s">
        <v>327</v>
      </c>
      <c r="M83" s="28" t="b">
        <f aca="false">FALSE()</f>
        <v>0</v>
      </c>
      <c r="U83" s="0" t="n">
        <v>3.91</v>
      </c>
      <c r="V83" s="0" t="n">
        <v>7.16</v>
      </c>
      <c r="W83" s="0" t="n">
        <v>40.8</v>
      </c>
      <c r="X83" s="0" t="n">
        <v>4.09</v>
      </c>
      <c r="Y83" s="0" t="n">
        <v>7.84</v>
      </c>
      <c r="Z83" s="0" t="n">
        <v>-4.09</v>
      </c>
      <c r="AA83" s="0" t="n">
        <v>-7.84</v>
      </c>
      <c r="AB83" s="0" t="s">
        <v>235</v>
      </c>
      <c r="AC83" s="0" t="n">
        <v>0</v>
      </c>
      <c r="AD83" s="0" t="s">
        <v>236</v>
      </c>
      <c r="AE83" s="0" t="n">
        <v>0</v>
      </c>
      <c r="AF83" s="0" t="s">
        <v>326</v>
      </c>
      <c r="AG83" s="0" t="n">
        <v>0</v>
      </c>
      <c r="AH83" s="0" t="n">
        <v>49</v>
      </c>
      <c r="AI83" s="0" t="s">
        <v>350</v>
      </c>
      <c r="AJ83" s="0" t="n">
        <v>7</v>
      </c>
      <c r="AK83" s="0" t="n">
        <v>8</v>
      </c>
    </row>
    <row r="84" customFormat="false" ht="15" hidden="false" customHeight="false" outlineLevel="0" collapsed="false">
      <c r="A84" s="0" t="s">
        <v>189</v>
      </c>
      <c r="B84" s="0" t="s">
        <v>190</v>
      </c>
      <c r="C84" s="0" t="s">
        <v>191</v>
      </c>
      <c r="D84" s="0" t="s">
        <v>521</v>
      </c>
      <c r="E84" s="0" t="s">
        <v>427</v>
      </c>
      <c r="F84" s="0" t="s">
        <v>188</v>
      </c>
      <c r="G84" s="0" t="s">
        <v>138</v>
      </c>
      <c r="H84" s="0" t="n">
        <v>4</v>
      </c>
      <c r="I84" s="0" t="n">
        <v>8</v>
      </c>
      <c r="J84" s="0" t="n">
        <v>-2</v>
      </c>
      <c r="K84" s="0" t="s">
        <v>190</v>
      </c>
      <c r="L84" s="0" t="s">
        <v>191</v>
      </c>
      <c r="M84" s="28" t="b">
        <f aca="false">TRUE()</f>
        <v>1</v>
      </c>
      <c r="N84" s="0" t="s">
        <v>191</v>
      </c>
      <c r="O84" s="0" t="n">
        <v>3.7</v>
      </c>
      <c r="P84" s="0" t="n">
        <v>2</v>
      </c>
      <c r="Q84" s="0" t="n">
        <v>-1.7</v>
      </c>
      <c r="R84" s="0" t="n">
        <v>0</v>
      </c>
      <c r="S84" s="0" t="n">
        <v>1</v>
      </c>
      <c r="T84" s="0" t="s">
        <v>76</v>
      </c>
      <c r="U84" s="0" t="n">
        <v>6.95</v>
      </c>
      <c r="V84" s="0" t="n">
        <v>13.17</v>
      </c>
      <c r="W84" s="0" t="n">
        <v>95</v>
      </c>
      <c r="X84" s="0" t="n">
        <v>2.95</v>
      </c>
      <c r="Y84" s="0" t="n">
        <v>5.17</v>
      </c>
      <c r="Z84" s="0" t="n">
        <v>2.95</v>
      </c>
      <c r="AA84" s="0" t="n">
        <v>5.17</v>
      </c>
      <c r="AB84" s="0" t="s">
        <v>233</v>
      </c>
      <c r="AC84" s="0" t="n">
        <v>0</v>
      </c>
      <c r="AD84" s="0" t="s">
        <v>234</v>
      </c>
      <c r="AE84" s="0" t="n">
        <v>0</v>
      </c>
      <c r="AF84" s="0" t="s">
        <v>191</v>
      </c>
      <c r="AG84" s="0" t="n">
        <v>0</v>
      </c>
      <c r="AH84" s="0" t="n">
        <v>34</v>
      </c>
      <c r="AI84" s="0" t="s">
        <v>350</v>
      </c>
      <c r="AJ84" s="0" t="n">
        <v>12</v>
      </c>
      <c r="AK84" s="0" t="n">
        <v>4</v>
      </c>
    </row>
    <row r="85" customFormat="false" ht="15" hidden="false" customHeight="false" outlineLevel="0" collapsed="false">
      <c r="A85" s="0" t="s">
        <v>189</v>
      </c>
      <c r="B85" s="0" t="s">
        <v>328</v>
      </c>
      <c r="C85" s="0" t="s">
        <v>329</v>
      </c>
      <c r="D85" s="0" t="s">
        <v>522</v>
      </c>
      <c r="E85" s="0" t="s">
        <v>441</v>
      </c>
      <c r="F85" s="0" t="s">
        <v>429</v>
      </c>
      <c r="G85" s="0" t="s">
        <v>443</v>
      </c>
      <c r="H85" s="0" t="n">
        <v>0</v>
      </c>
      <c r="I85" s="0" t="n">
        <v>4</v>
      </c>
      <c r="J85" s="0" t="n">
        <v>2</v>
      </c>
      <c r="K85" s="0" t="s">
        <v>328</v>
      </c>
      <c r="L85" s="0" t="s">
        <v>328</v>
      </c>
      <c r="M85" s="28" t="b">
        <f aca="false">FALSE()</f>
        <v>0</v>
      </c>
      <c r="U85" s="0" t="n">
        <v>2.93</v>
      </c>
      <c r="V85" s="0" t="n">
        <v>7.84</v>
      </c>
      <c r="W85" s="0" t="n">
        <v>95</v>
      </c>
      <c r="X85" s="0" t="n">
        <v>2.93</v>
      </c>
      <c r="Y85" s="0" t="n">
        <v>3.84</v>
      </c>
      <c r="Z85" s="0" t="n">
        <v>2.93</v>
      </c>
      <c r="AA85" s="0" t="n">
        <v>3.84</v>
      </c>
      <c r="AB85" s="0" t="s">
        <v>235</v>
      </c>
      <c r="AC85" s="0" t="n">
        <v>1</v>
      </c>
      <c r="AD85" s="0" t="s">
        <v>236</v>
      </c>
      <c r="AE85" s="0" t="n">
        <v>1</v>
      </c>
      <c r="AF85" s="0" t="s">
        <v>328</v>
      </c>
      <c r="AG85" s="0" t="n">
        <v>1</v>
      </c>
      <c r="AH85" s="0" t="n">
        <v>10</v>
      </c>
      <c r="AI85" s="0" t="s">
        <v>350</v>
      </c>
      <c r="AJ85" s="0" t="n">
        <v>5.67</v>
      </c>
      <c r="AK85" s="0" t="n">
        <v>1.67</v>
      </c>
    </row>
    <row r="86" customFormat="false" ht="15" hidden="false" customHeight="false" outlineLevel="0" collapsed="false">
      <c r="A86" s="0" t="s">
        <v>189</v>
      </c>
      <c r="B86" s="0" t="s">
        <v>192</v>
      </c>
      <c r="C86" s="0" t="s">
        <v>193</v>
      </c>
      <c r="D86" s="0" t="s">
        <v>523</v>
      </c>
      <c r="E86" s="0" t="s">
        <v>153</v>
      </c>
      <c r="F86" s="0" t="s">
        <v>441</v>
      </c>
      <c r="G86" s="0" t="s">
        <v>122</v>
      </c>
      <c r="H86" s="0" t="n">
        <v>1</v>
      </c>
      <c r="I86" s="0" t="n">
        <v>6</v>
      </c>
      <c r="J86" s="0" t="n">
        <v>2</v>
      </c>
      <c r="K86" s="0" t="s">
        <v>192</v>
      </c>
      <c r="L86" s="0" t="s">
        <v>192</v>
      </c>
      <c r="M86" s="28" t="b">
        <f aca="false">TRUE()</f>
        <v>1</v>
      </c>
      <c r="N86" s="0" t="s">
        <v>192</v>
      </c>
      <c r="O86" s="0" t="n">
        <v>5.63</v>
      </c>
      <c r="P86" s="0" t="n">
        <v>2</v>
      </c>
      <c r="Q86" s="0" t="n">
        <v>-3.63</v>
      </c>
      <c r="R86" s="0" t="n">
        <v>0</v>
      </c>
      <c r="S86" s="0" t="n">
        <v>1</v>
      </c>
      <c r="T86" s="0" t="s">
        <v>76</v>
      </c>
      <c r="U86" s="0" t="n">
        <v>5.57</v>
      </c>
      <c r="V86" s="0" t="n">
        <v>10.87</v>
      </c>
      <c r="W86" s="0" t="n">
        <v>95</v>
      </c>
      <c r="X86" s="0" t="n">
        <v>4.57</v>
      </c>
      <c r="Y86" s="0" t="n">
        <v>4.87</v>
      </c>
      <c r="Z86" s="0" t="n">
        <v>4.57</v>
      </c>
      <c r="AA86" s="0" t="n">
        <v>4.87</v>
      </c>
      <c r="AB86" s="0" t="s">
        <v>233</v>
      </c>
      <c r="AC86" s="0" t="n">
        <v>0</v>
      </c>
      <c r="AD86" s="0" t="s">
        <v>237</v>
      </c>
      <c r="AF86" s="0" t="s">
        <v>192</v>
      </c>
      <c r="AG86" s="0" t="n">
        <v>1</v>
      </c>
      <c r="AH86" s="0" t="n">
        <v>69</v>
      </c>
      <c r="AI86" s="0" t="s">
        <v>354</v>
      </c>
      <c r="AJ86" s="0" t="n">
        <v>7.5</v>
      </c>
      <c r="AK86" s="0" t="n">
        <v>1.5</v>
      </c>
      <c r="AL86" s="0" t="s">
        <v>355</v>
      </c>
      <c r="AM86" s="0" t="s">
        <v>362</v>
      </c>
      <c r="AN86" s="0" t="n">
        <v>0</v>
      </c>
      <c r="AO86" s="0" t="n">
        <v>0</v>
      </c>
    </row>
    <row r="87" customFormat="false" ht="15" hidden="false" customHeight="false" outlineLevel="0" collapsed="false">
      <c r="A87" s="0" t="s">
        <v>189</v>
      </c>
      <c r="B87" s="0" t="s">
        <v>330</v>
      </c>
      <c r="C87" s="0" t="s">
        <v>331</v>
      </c>
      <c r="D87" s="0" t="s">
        <v>524</v>
      </c>
      <c r="E87" s="0" t="s">
        <v>427</v>
      </c>
      <c r="F87" s="0" t="s">
        <v>114</v>
      </c>
      <c r="G87" s="0" t="s">
        <v>110</v>
      </c>
      <c r="H87" s="0" t="n">
        <v>4</v>
      </c>
      <c r="I87" s="0" t="n">
        <v>6</v>
      </c>
      <c r="J87" s="0" t="n">
        <v>-2</v>
      </c>
      <c r="K87" s="0" t="s">
        <v>330</v>
      </c>
      <c r="L87" s="0" t="s">
        <v>331</v>
      </c>
      <c r="M87" s="28" t="b">
        <f aca="false">FALSE()</f>
        <v>0</v>
      </c>
      <c r="U87" s="0" t="n">
        <v>5.32</v>
      </c>
      <c r="V87" s="0" t="n">
        <v>10.56</v>
      </c>
      <c r="W87" s="0" t="n">
        <v>95</v>
      </c>
      <c r="X87" s="0" t="n">
        <v>1.32</v>
      </c>
      <c r="Y87" s="0" t="n">
        <v>4.56</v>
      </c>
      <c r="Z87" s="0" t="n">
        <v>1.32</v>
      </c>
      <c r="AA87" s="0" t="n">
        <v>4.56</v>
      </c>
      <c r="AB87" s="0" t="s">
        <v>233</v>
      </c>
      <c r="AC87" s="0" t="n">
        <v>0</v>
      </c>
      <c r="AD87" s="0" t="s">
        <v>237</v>
      </c>
      <c r="AF87" s="0" t="s">
        <v>331</v>
      </c>
      <c r="AG87" s="0" t="n">
        <v>0</v>
      </c>
      <c r="AH87" s="0" t="n">
        <v>41</v>
      </c>
      <c r="AI87" s="0" t="s">
        <v>350</v>
      </c>
      <c r="AJ87" s="0" t="n">
        <v>12.5</v>
      </c>
      <c r="AK87" s="0" t="n">
        <v>6.5</v>
      </c>
    </row>
    <row r="88" customFormat="false" ht="15" hidden="false" customHeight="false" outlineLevel="0" collapsed="false">
      <c r="A88" s="0" t="s">
        <v>189</v>
      </c>
      <c r="B88" s="0" t="s">
        <v>332</v>
      </c>
      <c r="C88" s="0" t="s">
        <v>333</v>
      </c>
      <c r="D88" s="0" t="s">
        <v>525</v>
      </c>
      <c r="E88" s="0" t="s">
        <v>90</v>
      </c>
      <c r="F88" s="0" t="s">
        <v>138</v>
      </c>
      <c r="G88" s="0" t="s">
        <v>520</v>
      </c>
      <c r="H88" s="0" t="n">
        <v>8</v>
      </c>
      <c r="I88" s="0" t="n">
        <v>15</v>
      </c>
      <c r="J88" s="0" t="n">
        <v>-1</v>
      </c>
      <c r="K88" s="0" t="s">
        <v>332</v>
      </c>
      <c r="L88" s="0" t="s">
        <v>333</v>
      </c>
      <c r="M88" s="28" t="b">
        <f aca="false">FALSE()</f>
        <v>0</v>
      </c>
      <c r="U88" s="0" t="n">
        <v>2.97</v>
      </c>
      <c r="V88" s="0" t="n">
        <v>7.45</v>
      </c>
      <c r="W88" s="0" t="n">
        <v>95</v>
      </c>
      <c r="X88" s="0" t="n">
        <v>5.03</v>
      </c>
      <c r="Y88" s="0" t="n">
        <v>7.55</v>
      </c>
      <c r="Z88" s="0" t="n">
        <v>-5.03</v>
      </c>
      <c r="AA88" s="0" t="n">
        <v>-7.55</v>
      </c>
      <c r="AB88" s="0" t="s">
        <v>235</v>
      </c>
      <c r="AC88" s="0" t="n">
        <v>0</v>
      </c>
      <c r="AD88" s="0" t="s">
        <v>236</v>
      </c>
      <c r="AE88" s="0" t="n">
        <v>0</v>
      </c>
      <c r="AF88" s="0" t="s">
        <v>332</v>
      </c>
      <c r="AG88" s="0" t="n">
        <v>1</v>
      </c>
      <c r="AH88" s="0" t="n">
        <v>60</v>
      </c>
      <c r="AI88" s="0" t="s">
        <v>351</v>
      </c>
      <c r="AJ88" s="0" t="n">
        <v>8.75</v>
      </c>
      <c r="AK88" s="0" t="n">
        <v>6.25</v>
      </c>
      <c r="AL88" s="0" t="s">
        <v>352</v>
      </c>
      <c r="AM88" s="0" t="s">
        <v>363</v>
      </c>
      <c r="AN88" s="0" t="n">
        <v>0</v>
      </c>
      <c r="AO88" s="0" t="n">
        <v>1</v>
      </c>
    </row>
    <row r="89" customFormat="false" ht="15" hidden="false" customHeight="false" outlineLevel="0" collapsed="false">
      <c r="A89" s="0" t="s">
        <v>189</v>
      </c>
      <c r="B89" s="0" t="s">
        <v>194</v>
      </c>
      <c r="C89" s="0" t="s">
        <v>195</v>
      </c>
      <c r="D89" s="0" t="s">
        <v>526</v>
      </c>
      <c r="E89" s="0" t="s">
        <v>427</v>
      </c>
      <c r="F89" s="0" t="s">
        <v>90</v>
      </c>
      <c r="G89" s="0" t="s">
        <v>196</v>
      </c>
      <c r="H89" s="0" t="n">
        <v>5</v>
      </c>
      <c r="I89" s="0" t="n">
        <v>11</v>
      </c>
      <c r="J89" s="0" t="n">
        <v>-3</v>
      </c>
      <c r="K89" s="0" t="s">
        <v>194</v>
      </c>
      <c r="L89" s="0" t="s">
        <v>195</v>
      </c>
      <c r="M89" s="28" t="b">
        <f aca="false">TRUE()</f>
        <v>1</v>
      </c>
      <c r="N89" s="0" t="s">
        <v>194</v>
      </c>
      <c r="O89" s="0" t="n">
        <v>2.31</v>
      </c>
      <c r="P89" s="0" t="n">
        <v>-3</v>
      </c>
      <c r="Q89" s="0" t="n">
        <v>-5.31</v>
      </c>
      <c r="R89" s="0" t="n">
        <v>0</v>
      </c>
      <c r="S89" s="0" t="n">
        <v>0</v>
      </c>
      <c r="T89" s="0" t="s">
        <v>76</v>
      </c>
      <c r="U89" s="0" t="n">
        <v>5.5</v>
      </c>
      <c r="V89" s="0" t="n">
        <v>10.7</v>
      </c>
      <c r="W89" s="0" t="n">
        <v>95</v>
      </c>
      <c r="X89" s="0" t="n">
        <v>0.5</v>
      </c>
      <c r="Y89" s="0" t="n">
        <v>0.300000000000001</v>
      </c>
      <c r="Z89" s="0" t="n">
        <v>0.5</v>
      </c>
      <c r="AA89" s="0" t="n">
        <v>-0.300000000000001</v>
      </c>
      <c r="AB89" s="0" t="s">
        <v>233</v>
      </c>
      <c r="AC89" s="0" t="n">
        <v>1</v>
      </c>
      <c r="AD89" s="0" t="s">
        <v>237</v>
      </c>
      <c r="AF89" s="0" t="s">
        <v>194</v>
      </c>
      <c r="AG89" s="0" t="n">
        <v>1</v>
      </c>
      <c r="AH89" s="0" t="n">
        <v>22</v>
      </c>
      <c r="AI89" s="0" t="s">
        <v>350</v>
      </c>
      <c r="AJ89" s="0" t="n">
        <v>13.6</v>
      </c>
      <c r="AK89" s="0" t="n">
        <v>2.6</v>
      </c>
    </row>
    <row r="90" customFormat="false" ht="15" hidden="false" customHeight="false" outlineLevel="0" collapsed="false">
      <c r="A90" s="0" t="s">
        <v>189</v>
      </c>
      <c r="B90" s="0" t="s">
        <v>197</v>
      </c>
      <c r="C90" s="0" t="s">
        <v>198</v>
      </c>
      <c r="D90" s="0" t="s">
        <v>527</v>
      </c>
      <c r="E90" s="0" t="s">
        <v>422</v>
      </c>
      <c r="F90" s="0" t="s">
        <v>407</v>
      </c>
      <c r="G90" s="0" t="s">
        <v>144</v>
      </c>
      <c r="H90" s="0" t="n">
        <v>4</v>
      </c>
      <c r="I90" s="0" t="n">
        <v>8</v>
      </c>
      <c r="J90" s="0" t="n">
        <v>6</v>
      </c>
      <c r="K90" s="0" t="s">
        <v>241</v>
      </c>
      <c r="L90" s="0" t="s">
        <v>197</v>
      </c>
      <c r="M90" s="28" t="b">
        <f aca="false">TRUE()</f>
        <v>1</v>
      </c>
      <c r="N90" s="0" t="s">
        <v>197</v>
      </c>
      <c r="O90" s="0" t="n">
        <v>4.87</v>
      </c>
      <c r="P90" s="0" t="n">
        <v>6</v>
      </c>
      <c r="Q90" s="0" t="n">
        <v>1.13</v>
      </c>
      <c r="R90" s="0" t="n">
        <v>1</v>
      </c>
      <c r="S90" s="0" t="n">
        <v>1</v>
      </c>
      <c r="T90" s="0" t="s">
        <v>76</v>
      </c>
      <c r="U90" s="0" t="n">
        <v>5.14</v>
      </c>
      <c r="V90" s="0" t="n">
        <v>9.25</v>
      </c>
      <c r="W90" s="0" t="n">
        <v>87.8</v>
      </c>
      <c r="X90" s="0" t="n">
        <v>1.14</v>
      </c>
      <c r="Y90" s="0" t="n">
        <v>1.25</v>
      </c>
      <c r="Z90" s="0" t="n">
        <v>1.14</v>
      </c>
      <c r="AA90" s="0" t="n">
        <v>1.25</v>
      </c>
      <c r="AB90" s="0" t="s">
        <v>233</v>
      </c>
      <c r="AC90" s="0" t="n">
        <v>0</v>
      </c>
      <c r="AD90" s="0" t="s">
        <v>236</v>
      </c>
      <c r="AE90" s="0" t="n">
        <v>1</v>
      </c>
      <c r="AF90" s="0" t="s">
        <v>197</v>
      </c>
      <c r="AG90" s="0" t="n">
        <v>0</v>
      </c>
      <c r="AH90" s="0" t="n">
        <v>93</v>
      </c>
      <c r="AI90" s="0" t="s">
        <v>354</v>
      </c>
      <c r="AJ90" s="0" t="n">
        <v>13.17</v>
      </c>
      <c r="AK90" s="0" t="n">
        <v>5.17</v>
      </c>
      <c r="AL90" s="0" t="s">
        <v>355</v>
      </c>
      <c r="AM90" s="0" t="s">
        <v>356</v>
      </c>
      <c r="AN90" s="0" t="n">
        <v>1</v>
      </c>
      <c r="AO90" s="0" t="n">
        <v>0</v>
      </c>
    </row>
    <row r="91" customFormat="false" ht="15" hidden="false" customHeight="false" outlineLevel="0" collapsed="false">
      <c r="A91" s="0" t="s">
        <v>189</v>
      </c>
      <c r="B91" s="0" t="s">
        <v>334</v>
      </c>
      <c r="C91" s="0" t="s">
        <v>335</v>
      </c>
      <c r="D91" s="0" t="s">
        <v>528</v>
      </c>
      <c r="E91" s="0" t="s">
        <v>415</v>
      </c>
      <c r="F91" s="0" t="s">
        <v>153</v>
      </c>
      <c r="G91" s="0" t="s">
        <v>529</v>
      </c>
      <c r="H91" s="0" t="n">
        <v>5</v>
      </c>
      <c r="I91" s="0" t="n">
        <v>7</v>
      </c>
      <c r="J91" s="0" t="n">
        <v>7</v>
      </c>
      <c r="K91" s="0" t="s">
        <v>334</v>
      </c>
      <c r="L91" s="0" t="s">
        <v>334</v>
      </c>
      <c r="M91" s="28" t="b">
        <f aca="false">FALSE()</f>
        <v>0</v>
      </c>
      <c r="U91" s="0" t="n">
        <v>5.43</v>
      </c>
      <c r="V91" s="0" t="n">
        <v>11.25</v>
      </c>
      <c r="W91" s="0" t="n">
        <v>93.9</v>
      </c>
      <c r="X91" s="0" t="n">
        <v>0.43</v>
      </c>
      <c r="Y91" s="0" t="n">
        <v>4.25</v>
      </c>
      <c r="Z91" s="0" t="n">
        <v>0.43</v>
      </c>
      <c r="AA91" s="0" t="n">
        <v>4.25</v>
      </c>
      <c r="AB91" s="0" t="s">
        <v>233</v>
      </c>
      <c r="AC91" s="0" t="n">
        <v>1</v>
      </c>
      <c r="AD91" s="0" t="s">
        <v>237</v>
      </c>
      <c r="AF91" s="0" t="s">
        <v>336</v>
      </c>
      <c r="AG91" s="0" t="n">
        <v>1</v>
      </c>
      <c r="AH91" s="0" t="n">
        <v>52</v>
      </c>
      <c r="AI91" s="0" t="s">
        <v>351</v>
      </c>
      <c r="AJ91" s="0" t="n">
        <v>11</v>
      </c>
      <c r="AK91" s="0" t="n">
        <v>4</v>
      </c>
      <c r="AL91" s="0" t="s">
        <v>352</v>
      </c>
      <c r="AM91" s="0" t="s">
        <v>356</v>
      </c>
      <c r="AN91" s="0" t="n">
        <v>1</v>
      </c>
      <c r="AO91" s="0" t="n">
        <v>0</v>
      </c>
    </row>
    <row r="92" customFormat="false" ht="15" hidden="false" customHeight="false" outlineLevel="0" collapsed="false">
      <c r="A92" s="0" t="s">
        <v>189</v>
      </c>
      <c r="B92" s="0" t="s">
        <v>337</v>
      </c>
      <c r="C92" s="0" t="s">
        <v>338</v>
      </c>
      <c r="D92" s="0" t="s">
        <v>530</v>
      </c>
      <c r="E92" s="0" t="s">
        <v>424</v>
      </c>
      <c r="F92" s="0" t="s">
        <v>153</v>
      </c>
      <c r="G92" s="0" t="s">
        <v>96</v>
      </c>
      <c r="H92" s="0" t="n">
        <v>5</v>
      </c>
      <c r="I92" s="0" t="n">
        <v>13</v>
      </c>
      <c r="J92" s="0" t="n">
        <v>9</v>
      </c>
      <c r="K92" s="0" t="s">
        <v>338</v>
      </c>
      <c r="L92" s="0" t="s">
        <v>337</v>
      </c>
      <c r="M92" s="28" t="b">
        <f aca="false">FALSE()</f>
        <v>0</v>
      </c>
      <c r="U92" s="0" t="n">
        <v>4.62</v>
      </c>
      <c r="V92" s="0" t="n">
        <v>11.37</v>
      </c>
      <c r="W92" s="0" t="n">
        <v>95</v>
      </c>
      <c r="X92" s="0" t="n">
        <v>0.38</v>
      </c>
      <c r="Y92" s="0" t="n">
        <v>1.63</v>
      </c>
      <c r="Z92" s="0" t="n">
        <v>-0.38</v>
      </c>
      <c r="AA92" s="0" t="n">
        <v>-1.63</v>
      </c>
      <c r="AB92" s="0" t="s">
        <v>237</v>
      </c>
      <c r="AD92" s="0" t="s">
        <v>234</v>
      </c>
      <c r="AE92" s="0" t="n">
        <v>1</v>
      </c>
      <c r="AF92" s="0" t="s">
        <v>339</v>
      </c>
      <c r="AG92" s="0" t="n">
        <v>1</v>
      </c>
      <c r="AH92" s="0" t="n">
        <v>8</v>
      </c>
      <c r="AI92" s="0" t="s">
        <v>350</v>
      </c>
      <c r="AJ92" s="0" t="n">
        <v>10.33</v>
      </c>
      <c r="AK92" s="0" t="n">
        <v>2.67</v>
      </c>
    </row>
    <row r="93" customFormat="false" ht="15" hidden="false" customHeight="false" outlineLevel="0" collapsed="false">
      <c r="A93" s="0" t="s">
        <v>189</v>
      </c>
      <c r="B93" s="0" t="s">
        <v>199</v>
      </c>
      <c r="C93" s="0" t="s">
        <v>200</v>
      </c>
      <c r="D93" s="0" t="s">
        <v>531</v>
      </c>
      <c r="E93" s="0" t="s">
        <v>122</v>
      </c>
      <c r="F93" s="0" t="s">
        <v>407</v>
      </c>
      <c r="G93" s="0" t="s">
        <v>201</v>
      </c>
      <c r="H93" s="0" t="n">
        <v>4</v>
      </c>
      <c r="I93" s="0" t="n">
        <v>10</v>
      </c>
      <c r="J93" s="0" t="n">
        <v>2</v>
      </c>
      <c r="K93" s="0" t="s">
        <v>199</v>
      </c>
      <c r="L93" s="0" t="s">
        <v>199</v>
      </c>
      <c r="M93" s="28" t="b">
        <f aca="false">TRUE()</f>
        <v>1</v>
      </c>
      <c r="N93" s="0" t="s">
        <v>199</v>
      </c>
      <c r="O93" s="0" t="n">
        <v>2.87</v>
      </c>
      <c r="P93" s="0" t="n">
        <v>2</v>
      </c>
      <c r="Q93" s="0" t="n">
        <v>-0.87</v>
      </c>
      <c r="R93" s="0" t="n">
        <v>0</v>
      </c>
      <c r="S93" s="0" t="n">
        <v>1</v>
      </c>
      <c r="T93" s="0" t="s">
        <v>76</v>
      </c>
      <c r="U93" s="0" t="n">
        <v>2.86</v>
      </c>
      <c r="V93" s="0" t="n">
        <v>5.55</v>
      </c>
      <c r="W93" s="0" t="n">
        <v>92.9</v>
      </c>
      <c r="X93" s="0" t="n">
        <v>1.14</v>
      </c>
      <c r="Y93" s="0" t="n">
        <v>4.45</v>
      </c>
      <c r="Z93" s="0" t="n">
        <v>-1.14</v>
      </c>
      <c r="AA93" s="0" t="n">
        <v>-4.45</v>
      </c>
      <c r="AB93" s="0" t="s">
        <v>235</v>
      </c>
      <c r="AC93" s="0" t="n">
        <v>0</v>
      </c>
      <c r="AD93" s="0" t="s">
        <v>236</v>
      </c>
      <c r="AE93" s="0" t="n">
        <v>0</v>
      </c>
      <c r="AF93" s="0" t="s">
        <v>199</v>
      </c>
      <c r="AG93" s="0" t="n">
        <v>1</v>
      </c>
      <c r="AH93" s="0" t="n">
        <v>61</v>
      </c>
      <c r="AI93" s="0" t="s">
        <v>351</v>
      </c>
      <c r="AJ93" s="0" t="n">
        <v>6.67</v>
      </c>
      <c r="AK93" s="0" t="n">
        <v>3.33</v>
      </c>
      <c r="AL93" s="0" t="s">
        <v>352</v>
      </c>
      <c r="AM93" s="0" t="s">
        <v>363</v>
      </c>
      <c r="AN93" s="0" t="n">
        <v>1</v>
      </c>
      <c r="AO93" s="0" t="n">
        <v>1</v>
      </c>
    </row>
    <row r="94" customFormat="false" ht="15" hidden="false" customHeight="false" outlineLevel="0" collapsed="false">
      <c r="A94" s="0" t="s">
        <v>189</v>
      </c>
      <c r="B94" s="0" t="s">
        <v>202</v>
      </c>
      <c r="C94" s="0" t="s">
        <v>203</v>
      </c>
      <c r="D94" s="0" t="s">
        <v>532</v>
      </c>
      <c r="E94" s="0" t="s">
        <v>411</v>
      </c>
      <c r="F94" s="0" t="s">
        <v>434</v>
      </c>
      <c r="G94" s="0" t="s">
        <v>204</v>
      </c>
      <c r="H94" s="0" t="n">
        <v>6</v>
      </c>
      <c r="I94" s="0" t="n">
        <v>12</v>
      </c>
      <c r="J94" s="0" t="n">
        <v>0</v>
      </c>
      <c r="K94" s="0" t="s">
        <v>203</v>
      </c>
      <c r="L94" s="0" t="s">
        <v>241</v>
      </c>
      <c r="M94" s="28" t="b">
        <f aca="false">TRUE()</f>
        <v>1</v>
      </c>
      <c r="N94" s="0" t="s">
        <v>202</v>
      </c>
      <c r="O94" s="0" t="n">
        <v>3.39</v>
      </c>
      <c r="P94" s="0" t="n">
        <v>0</v>
      </c>
      <c r="Q94" s="0" t="n">
        <v>-3.39</v>
      </c>
      <c r="R94" s="0" t="n">
        <v>0</v>
      </c>
      <c r="S94" s="0" t="n">
        <v>0</v>
      </c>
      <c r="T94" s="0" t="s">
        <v>76</v>
      </c>
      <c r="U94" s="0" t="n">
        <v>3.88</v>
      </c>
      <c r="V94" s="0" t="n">
        <v>8.31</v>
      </c>
      <c r="W94" s="0" t="n">
        <v>95</v>
      </c>
      <c r="X94" s="0" t="n">
        <v>2.12</v>
      </c>
      <c r="Y94" s="0" t="n">
        <v>3.69</v>
      </c>
      <c r="Z94" s="0" t="n">
        <v>-2.12</v>
      </c>
      <c r="AA94" s="0" t="n">
        <v>-3.69</v>
      </c>
      <c r="AB94" s="0" t="s">
        <v>235</v>
      </c>
      <c r="AC94" s="0" t="n">
        <v>0</v>
      </c>
      <c r="AD94" s="0" t="s">
        <v>236</v>
      </c>
      <c r="AE94" s="0" t="n">
        <v>0</v>
      </c>
      <c r="AF94" s="0" t="s">
        <v>202</v>
      </c>
      <c r="AG94" s="0" t="n">
        <v>0</v>
      </c>
      <c r="AH94" s="0" t="n">
        <v>59</v>
      </c>
      <c r="AI94" s="0" t="s">
        <v>351</v>
      </c>
      <c r="AJ94" s="0" t="n">
        <v>10.25</v>
      </c>
      <c r="AK94" s="0" t="n">
        <v>1.75</v>
      </c>
      <c r="AL94" s="0" t="s">
        <v>352</v>
      </c>
      <c r="AM94" s="0" t="s">
        <v>357</v>
      </c>
      <c r="AN94" s="0" t="n">
        <v>0</v>
      </c>
      <c r="AO94" s="0" t="n">
        <v>1</v>
      </c>
    </row>
    <row r="95" customFormat="false" ht="15" hidden="false" customHeight="false" outlineLevel="0" collapsed="false">
      <c r="A95" s="0" t="s">
        <v>189</v>
      </c>
      <c r="B95" s="0" t="s">
        <v>205</v>
      </c>
      <c r="C95" s="0" t="s">
        <v>206</v>
      </c>
      <c r="D95" s="0" t="s">
        <v>533</v>
      </c>
      <c r="E95" s="0" t="s">
        <v>415</v>
      </c>
      <c r="F95" s="0" t="s">
        <v>104</v>
      </c>
      <c r="G95" s="0" t="s">
        <v>196</v>
      </c>
      <c r="H95" s="0" t="n">
        <v>5</v>
      </c>
      <c r="I95" s="0" t="n">
        <v>11</v>
      </c>
      <c r="J95" s="0" t="n">
        <v>-3</v>
      </c>
      <c r="K95" s="0" t="s">
        <v>205</v>
      </c>
      <c r="L95" s="0" t="s">
        <v>206</v>
      </c>
      <c r="M95" s="28" t="b">
        <f aca="false">TRUE()</f>
        <v>1</v>
      </c>
      <c r="N95" s="0" t="s">
        <v>206</v>
      </c>
      <c r="O95" s="0" t="n">
        <v>3.06</v>
      </c>
      <c r="P95" s="0" t="n">
        <v>3</v>
      </c>
      <c r="Q95" s="0" t="n">
        <v>-0.0600000000000001</v>
      </c>
      <c r="R95" s="0" t="n">
        <v>0</v>
      </c>
      <c r="S95" s="0" t="n">
        <v>1</v>
      </c>
      <c r="T95" s="0" t="s">
        <v>76</v>
      </c>
      <c r="U95" s="0" t="n">
        <v>5.13</v>
      </c>
      <c r="V95" s="0" t="n">
        <v>12.66</v>
      </c>
      <c r="W95" s="0" t="n">
        <v>89</v>
      </c>
      <c r="X95" s="0" t="n">
        <v>0.13</v>
      </c>
      <c r="Y95" s="0" t="n">
        <v>1.66</v>
      </c>
      <c r="Z95" s="0" t="n">
        <v>0.13</v>
      </c>
      <c r="AA95" s="0" t="n">
        <v>1.66</v>
      </c>
      <c r="AB95" s="0" t="s">
        <v>233</v>
      </c>
      <c r="AC95" s="0" t="n">
        <v>1</v>
      </c>
      <c r="AD95" s="0" t="s">
        <v>234</v>
      </c>
      <c r="AE95" s="0" t="n">
        <v>1</v>
      </c>
      <c r="AF95" s="0" t="s">
        <v>206</v>
      </c>
      <c r="AG95" s="0" t="n">
        <v>0</v>
      </c>
      <c r="AH95" s="0" t="n">
        <v>29</v>
      </c>
      <c r="AI95" s="0" t="s">
        <v>350</v>
      </c>
      <c r="AJ95" s="0" t="n">
        <v>11.5</v>
      </c>
      <c r="AK95" s="0" t="n">
        <v>0.5</v>
      </c>
    </row>
    <row r="96" customFormat="false" ht="15" hidden="false" customHeight="false" outlineLevel="0" collapsed="false">
      <c r="A96" s="0" t="s">
        <v>189</v>
      </c>
      <c r="B96" s="0" t="s">
        <v>207</v>
      </c>
      <c r="C96" s="0" t="s">
        <v>208</v>
      </c>
      <c r="D96" s="0" t="s">
        <v>534</v>
      </c>
      <c r="E96" s="0" t="s">
        <v>104</v>
      </c>
      <c r="F96" s="0" t="s">
        <v>117</v>
      </c>
      <c r="G96" s="0" t="s">
        <v>209</v>
      </c>
      <c r="H96" s="0" t="n">
        <v>7</v>
      </c>
      <c r="I96" s="0" t="n">
        <v>13</v>
      </c>
      <c r="J96" s="0" t="n">
        <v>7</v>
      </c>
      <c r="K96" s="0" t="s">
        <v>208</v>
      </c>
      <c r="L96" s="0" t="s">
        <v>207</v>
      </c>
      <c r="M96" s="28" t="b">
        <f aca="false">TRUE()</f>
        <v>1</v>
      </c>
      <c r="N96" s="0" t="s">
        <v>207</v>
      </c>
      <c r="O96" s="0" t="n">
        <v>2.05</v>
      </c>
      <c r="P96" s="0" t="n">
        <v>7</v>
      </c>
      <c r="Q96" s="0" t="n">
        <v>4.95</v>
      </c>
      <c r="R96" s="0" t="n">
        <v>1</v>
      </c>
      <c r="S96" s="0" t="n">
        <v>1</v>
      </c>
      <c r="T96" s="0" t="s">
        <v>76</v>
      </c>
      <c r="U96" s="0" t="n">
        <v>2.01</v>
      </c>
      <c r="V96" s="0" t="n">
        <v>7.83</v>
      </c>
      <c r="W96" s="0" t="n">
        <v>92.9</v>
      </c>
      <c r="X96" s="0" t="n">
        <v>4.99</v>
      </c>
      <c r="Y96" s="0" t="n">
        <v>5.17</v>
      </c>
      <c r="Z96" s="0" t="n">
        <v>-4.99</v>
      </c>
      <c r="AA96" s="0" t="n">
        <v>-5.17</v>
      </c>
      <c r="AB96" s="0" t="s">
        <v>235</v>
      </c>
      <c r="AC96" s="0" t="n">
        <v>0</v>
      </c>
      <c r="AD96" s="0" t="s">
        <v>236</v>
      </c>
      <c r="AE96" s="0" t="n">
        <v>0</v>
      </c>
      <c r="AF96" s="0" t="s">
        <v>207</v>
      </c>
      <c r="AG96" s="0" t="n">
        <v>0</v>
      </c>
      <c r="AH96" s="0" t="n">
        <v>80</v>
      </c>
      <c r="AI96" s="0" t="s">
        <v>354</v>
      </c>
      <c r="AJ96" s="0" t="n">
        <v>9.92</v>
      </c>
      <c r="AK96" s="0" t="n">
        <v>3.08</v>
      </c>
      <c r="AL96" s="0" t="s">
        <v>355</v>
      </c>
      <c r="AM96" s="0" t="s">
        <v>359</v>
      </c>
      <c r="AN96" s="0" t="n">
        <v>1</v>
      </c>
      <c r="AO96" s="0" t="n">
        <v>1</v>
      </c>
    </row>
    <row r="97" customFormat="false" ht="15" hidden="false" customHeight="false" outlineLevel="0" collapsed="false">
      <c r="A97" s="0" t="s">
        <v>189</v>
      </c>
      <c r="B97" s="0" t="s">
        <v>210</v>
      </c>
      <c r="C97" s="0" t="s">
        <v>211</v>
      </c>
      <c r="D97" s="0" t="s">
        <v>535</v>
      </c>
      <c r="E97" s="0" t="s">
        <v>411</v>
      </c>
      <c r="F97" s="0" t="s">
        <v>536</v>
      </c>
      <c r="G97" s="0" t="s">
        <v>212</v>
      </c>
      <c r="H97" s="0" t="n">
        <v>6</v>
      </c>
      <c r="I97" s="0" t="n">
        <v>15</v>
      </c>
      <c r="J97" s="0" t="n">
        <v>1</v>
      </c>
      <c r="K97" s="0" t="s">
        <v>211</v>
      </c>
      <c r="L97" s="0" t="s">
        <v>210</v>
      </c>
      <c r="M97" s="28" t="b">
        <f aca="false">TRUE()</f>
        <v>1</v>
      </c>
      <c r="N97" s="0" t="s">
        <v>210</v>
      </c>
      <c r="O97" s="0" t="n">
        <v>2.96</v>
      </c>
      <c r="P97" s="0" t="n">
        <v>1</v>
      </c>
      <c r="Q97" s="0" t="n">
        <v>-1.96</v>
      </c>
      <c r="R97" s="0" t="n">
        <v>0</v>
      </c>
      <c r="S97" s="0" t="n">
        <v>1</v>
      </c>
      <c r="T97" s="0" t="s">
        <v>76</v>
      </c>
      <c r="U97" s="0" t="n">
        <v>6</v>
      </c>
      <c r="V97" s="0" t="n">
        <v>12.67</v>
      </c>
      <c r="W97" s="0" t="n">
        <v>95</v>
      </c>
      <c r="X97" s="0" t="n">
        <v>0</v>
      </c>
      <c r="Y97" s="0" t="n">
        <v>2.33</v>
      </c>
      <c r="Z97" s="0" t="n">
        <v>0</v>
      </c>
      <c r="AA97" s="0" t="n">
        <v>-2.33</v>
      </c>
      <c r="AB97" s="0" t="s">
        <v>233</v>
      </c>
      <c r="AC97" s="0" t="n">
        <v>1</v>
      </c>
      <c r="AD97" s="0" t="s">
        <v>234</v>
      </c>
      <c r="AE97" s="0" t="n">
        <v>1</v>
      </c>
      <c r="AF97" s="0" t="s">
        <v>210</v>
      </c>
      <c r="AG97" s="0" t="n">
        <v>0</v>
      </c>
      <c r="AH97" s="0" t="n">
        <v>40</v>
      </c>
      <c r="AI97" s="0" t="s">
        <v>350</v>
      </c>
      <c r="AJ97" s="0" t="n">
        <v>12.67</v>
      </c>
      <c r="AK97" s="0" t="n">
        <v>2.33</v>
      </c>
    </row>
    <row r="98" customFormat="false" ht="15" hidden="false" customHeight="false" outlineLevel="0" collapsed="false">
      <c r="A98" s="0" t="s">
        <v>189</v>
      </c>
      <c r="B98" s="0" t="s">
        <v>213</v>
      </c>
      <c r="C98" s="0" t="s">
        <v>214</v>
      </c>
      <c r="D98" s="0" t="s">
        <v>537</v>
      </c>
      <c r="E98" s="0" t="s">
        <v>443</v>
      </c>
      <c r="F98" s="0" t="s">
        <v>434</v>
      </c>
      <c r="G98" s="0" t="s">
        <v>215</v>
      </c>
      <c r="H98" s="0" t="n">
        <v>6</v>
      </c>
      <c r="I98" s="0" t="n">
        <v>11</v>
      </c>
      <c r="J98" s="0" t="n">
        <v>5</v>
      </c>
      <c r="K98" s="0" t="s">
        <v>213</v>
      </c>
      <c r="L98" s="0" t="s">
        <v>213</v>
      </c>
      <c r="M98" s="28" t="b">
        <f aca="false">TRUE()</f>
        <v>1</v>
      </c>
      <c r="N98" s="0" t="s">
        <v>213</v>
      </c>
      <c r="O98" s="0" t="n">
        <v>6.24</v>
      </c>
      <c r="P98" s="0" t="n">
        <v>5</v>
      </c>
      <c r="Q98" s="0" t="n">
        <v>-1.24</v>
      </c>
      <c r="R98" s="0" t="n">
        <v>0</v>
      </c>
      <c r="S98" s="0" t="n">
        <v>1</v>
      </c>
      <c r="T98" s="0" t="s">
        <v>76</v>
      </c>
      <c r="U98" s="0" t="n">
        <v>4.94</v>
      </c>
      <c r="V98" s="0" t="n">
        <v>12.79</v>
      </c>
      <c r="W98" s="0" t="n">
        <v>95</v>
      </c>
      <c r="X98" s="0" t="n">
        <v>1.06</v>
      </c>
      <c r="Y98" s="0" t="n">
        <v>1.79</v>
      </c>
      <c r="Z98" s="0" t="n">
        <v>-1.06</v>
      </c>
      <c r="AA98" s="0" t="n">
        <v>1.79</v>
      </c>
      <c r="AB98" s="0" t="s">
        <v>237</v>
      </c>
      <c r="AD98" s="0" t="s">
        <v>234</v>
      </c>
      <c r="AE98" s="0" t="n">
        <v>1</v>
      </c>
      <c r="AF98" s="0" t="s">
        <v>213</v>
      </c>
      <c r="AG98" s="0" t="n">
        <v>1</v>
      </c>
      <c r="AH98" s="0" t="n">
        <v>63</v>
      </c>
      <c r="AI98" s="0" t="s">
        <v>351</v>
      </c>
      <c r="AJ98" s="0" t="n">
        <v>10.14</v>
      </c>
      <c r="AK98" s="0" t="n">
        <v>0.859999999999999</v>
      </c>
      <c r="AL98" s="0" t="s">
        <v>352</v>
      </c>
      <c r="AM98" s="0" t="s">
        <v>360</v>
      </c>
      <c r="AN98" s="0" t="n">
        <v>1</v>
      </c>
      <c r="AO98" s="0" t="n">
        <v>1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7.35" hidden="false" customHeight="false" outlineLevel="0" collapsed="false">
      <c r="A1" s="1" t="s">
        <v>538</v>
      </c>
      <c r="B1" s="1"/>
      <c r="C1" s="1"/>
      <c r="D1" s="1"/>
      <c r="E1" s="1"/>
    </row>
    <row r="3" customFormat="false" ht="26.85" hidden="false" customHeight="false" outlineLevel="0" collapsed="false">
      <c r="A3" s="4" t="s">
        <v>539</v>
      </c>
      <c r="B3" s="4" t="s">
        <v>540</v>
      </c>
      <c r="C3" s="4" t="s">
        <v>5</v>
      </c>
      <c r="D3" s="4" t="s">
        <v>541</v>
      </c>
      <c r="E3" s="4" t="s">
        <v>7</v>
      </c>
    </row>
    <row r="4" customFormat="false" ht="15" hidden="false" customHeight="false" outlineLevel="0" collapsed="false">
      <c r="A4" s="5" t="n">
        <v>1</v>
      </c>
      <c r="B4" s="5" t="s">
        <v>282</v>
      </c>
      <c r="C4" s="5" t="n">
        <v>1</v>
      </c>
      <c r="D4" s="5" t="n">
        <v>1</v>
      </c>
      <c r="E4" s="29" t="n">
        <v>1</v>
      </c>
    </row>
    <row r="5" customFormat="false" ht="15" hidden="false" customHeight="false" outlineLevel="0" collapsed="false">
      <c r="A5" s="5" t="n">
        <v>2</v>
      </c>
      <c r="B5" s="5" t="s">
        <v>283</v>
      </c>
      <c r="C5" s="5" t="n">
        <v>1</v>
      </c>
      <c r="D5" s="5" t="n">
        <v>1</v>
      </c>
      <c r="E5" s="29" t="n">
        <v>1</v>
      </c>
    </row>
    <row r="6" customFormat="false" ht="15" hidden="false" customHeight="false" outlineLevel="0" collapsed="false">
      <c r="A6" s="5" t="n">
        <v>3</v>
      </c>
      <c r="B6" s="5" t="s">
        <v>145</v>
      </c>
      <c r="C6" s="5" t="n">
        <v>1</v>
      </c>
      <c r="D6" s="5" t="n">
        <v>1</v>
      </c>
      <c r="E6" s="29" t="n">
        <v>1</v>
      </c>
    </row>
    <row r="7" customFormat="false" ht="15" hidden="false" customHeight="false" outlineLevel="0" collapsed="false">
      <c r="A7" s="5" t="n">
        <v>4</v>
      </c>
      <c r="B7" s="5" t="s">
        <v>146</v>
      </c>
      <c r="C7" s="5" t="n">
        <v>1</v>
      </c>
      <c r="D7" s="5" t="n">
        <v>1</v>
      </c>
      <c r="E7" s="29" t="n">
        <v>1</v>
      </c>
    </row>
    <row r="8" customFormat="false" ht="15" hidden="false" customHeight="false" outlineLevel="0" collapsed="false">
      <c r="A8" s="5" t="n">
        <v>5</v>
      </c>
      <c r="B8" s="5" t="s">
        <v>277</v>
      </c>
      <c r="C8" s="5" t="n">
        <v>1</v>
      </c>
      <c r="D8" s="5" t="n">
        <v>1</v>
      </c>
      <c r="E8" s="29" t="n">
        <v>1</v>
      </c>
    </row>
    <row r="9" customFormat="false" ht="15" hidden="false" customHeight="false" outlineLevel="0" collapsed="false">
      <c r="A9" s="5" t="n">
        <v>6</v>
      </c>
      <c r="B9" s="5" t="s">
        <v>278</v>
      </c>
      <c r="C9" s="5" t="n">
        <v>1</v>
      </c>
      <c r="D9" s="5" t="n">
        <v>1</v>
      </c>
      <c r="E9" s="29" t="n">
        <v>1</v>
      </c>
    </row>
    <row r="10" customFormat="false" ht="15" hidden="false" customHeight="false" outlineLevel="0" collapsed="false">
      <c r="A10" s="5" t="n">
        <v>7</v>
      </c>
      <c r="B10" s="5" t="s">
        <v>284</v>
      </c>
      <c r="C10" s="5" t="n">
        <v>1</v>
      </c>
      <c r="D10" s="5" t="n">
        <v>1</v>
      </c>
      <c r="E10" s="29" t="n">
        <v>1</v>
      </c>
    </row>
    <row r="11" customFormat="false" ht="15" hidden="false" customHeight="false" outlineLevel="0" collapsed="false">
      <c r="A11" s="5" t="n">
        <v>8</v>
      </c>
      <c r="B11" s="5" t="s">
        <v>285</v>
      </c>
      <c r="C11" s="5" t="n">
        <v>1</v>
      </c>
      <c r="D11" s="5" t="n">
        <v>1</v>
      </c>
      <c r="E11" s="29" t="n">
        <v>1</v>
      </c>
    </row>
    <row r="12" customFormat="false" ht="15" hidden="false" customHeight="false" outlineLevel="0" collapsed="false">
      <c r="A12" s="5" t="n">
        <v>9</v>
      </c>
      <c r="B12" s="5" t="s">
        <v>279</v>
      </c>
      <c r="C12" s="5" t="n">
        <v>1</v>
      </c>
      <c r="D12" s="5" t="n">
        <v>1</v>
      </c>
      <c r="E12" s="29" t="n">
        <v>1</v>
      </c>
    </row>
    <row r="13" customFormat="false" ht="15" hidden="false" customHeight="false" outlineLevel="0" collapsed="false">
      <c r="A13" s="5" t="n">
        <v>10</v>
      </c>
      <c r="B13" s="5" t="s">
        <v>280</v>
      </c>
      <c r="C13" s="5" t="n">
        <v>1</v>
      </c>
      <c r="D13" s="5" t="n">
        <v>1</v>
      </c>
      <c r="E13" s="29" t="n">
        <v>1</v>
      </c>
    </row>
    <row r="14" customFormat="false" ht="15" hidden="false" customHeight="false" outlineLevel="0" collapsed="false">
      <c r="A14" s="5" t="n">
        <v>11</v>
      </c>
      <c r="B14" s="5" t="s">
        <v>245</v>
      </c>
      <c r="C14" s="5" t="n">
        <v>1</v>
      </c>
      <c r="D14" s="5" t="n">
        <v>1</v>
      </c>
      <c r="E14" s="29" t="n">
        <v>1</v>
      </c>
    </row>
    <row r="15" customFormat="false" ht="15" hidden="false" customHeight="false" outlineLevel="0" collapsed="false">
      <c r="A15" s="5" t="n">
        <v>12</v>
      </c>
      <c r="B15" s="5" t="s">
        <v>246</v>
      </c>
      <c r="C15" s="5" t="n">
        <v>1</v>
      </c>
      <c r="D15" s="5" t="n">
        <v>1</v>
      </c>
      <c r="E15" s="29" t="n">
        <v>1</v>
      </c>
    </row>
    <row r="16" customFormat="false" ht="15" hidden="false" customHeight="false" outlineLevel="0" collapsed="false">
      <c r="A16" s="5" t="n">
        <v>13</v>
      </c>
      <c r="B16" s="5" t="s">
        <v>97</v>
      </c>
      <c r="C16" s="5" t="n">
        <v>1</v>
      </c>
      <c r="D16" s="5" t="n">
        <v>1</v>
      </c>
      <c r="E16" s="29" t="n">
        <v>1</v>
      </c>
    </row>
    <row r="17" customFormat="false" ht="15" hidden="false" customHeight="false" outlineLevel="0" collapsed="false">
      <c r="A17" s="5" t="n">
        <v>14</v>
      </c>
      <c r="B17" s="5" t="s">
        <v>98</v>
      </c>
      <c r="C17" s="5" t="n">
        <v>1</v>
      </c>
      <c r="D17" s="5" t="n">
        <v>1</v>
      </c>
      <c r="E17" s="29" t="n">
        <v>1</v>
      </c>
    </row>
    <row r="18" customFormat="false" ht="15" hidden="false" customHeight="false" outlineLevel="0" collapsed="false">
      <c r="A18" s="5" t="n">
        <v>15</v>
      </c>
      <c r="B18" s="5" t="s">
        <v>102</v>
      </c>
      <c r="C18" s="5" t="n">
        <v>1</v>
      </c>
      <c r="D18" s="5" t="n">
        <v>1</v>
      </c>
      <c r="E18" s="29" t="n">
        <v>1</v>
      </c>
    </row>
    <row r="19" customFormat="false" ht="15" hidden="false" customHeight="false" outlineLevel="0" collapsed="false">
      <c r="A19" s="5" t="n">
        <v>16</v>
      </c>
      <c r="B19" s="5" t="s">
        <v>103</v>
      </c>
      <c r="C19" s="5" t="n">
        <v>1</v>
      </c>
      <c r="D19" s="5" t="n">
        <v>1</v>
      </c>
      <c r="E19" s="29" t="n">
        <v>1</v>
      </c>
    </row>
    <row r="20" customFormat="false" ht="15" hidden="false" customHeight="false" outlineLevel="0" collapsed="false">
      <c r="A20" s="5" t="n">
        <v>17</v>
      </c>
      <c r="B20" s="5" t="s">
        <v>247</v>
      </c>
      <c r="C20" s="5" t="n">
        <v>1</v>
      </c>
      <c r="D20" s="5" t="n">
        <v>1</v>
      </c>
      <c r="E20" s="29" t="n">
        <v>1</v>
      </c>
    </row>
    <row r="21" customFormat="false" ht="15" hidden="false" customHeight="false" outlineLevel="0" collapsed="false">
      <c r="A21" s="5" t="n">
        <v>18</v>
      </c>
      <c r="B21" s="5" t="s">
        <v>248</v>
      </c>
      <c r="C21" s="5" t="n">
        <v>1</v>
      </c>
      <c r="D21" s="5" t="n">
        <v>1</v>
      </c>
      <c r="E21" s="29" t="n">
        <v>1</v>
      </c>
    </row>
    <row r="22" customFormat="false" ht="15" hidden="false" customHeight="false" outlineLevel="0" collapsed="false">
      <c r="A22" s="5" t="n">
        <v>19</v>
      </c>
      <c r="B22" s="5" t="s">
        <v>255</v>
      </c>
      <c r="C22" s="5" t="n">
        <v>1</v>
      </c>
      <c r="D22" s="5" t="n">
        <v>1</v>
      </c>
      <c r="E22" s="29" t="n">
        <v>1</v>
      </c>
    </row>
    <row r="23" customFormat="false" ht="15" hidden="false" customHeight="false" outlineLevel="0" collapsed="false">
      <c r="A23" s="5" t="n">
        <v>20</v>
      </c>
      <c r="B23" s="5" t="s">
        <v>256</v>
      </c>
      <c r="C23" s="5" t="n">
        <v>1</v>
      </c>
      <c r="D23" s="5" t="n">
        <v>1</v>
      </c>
      <c r="E23" s="29" t="n">
        <v>1</v>
      </c>
    </row>
    <row r="24" customFormat="false" ht="15" hidden="false" customHeight="false" outlineLevel="0" collapsed="false">
      <c r="A24" s="5" t="n">
        <v>21</v>
      </c>
      <c r="B24" s="5" t="s">
        <v>105</v>
      </c>
      <c r="C24" s="5" t="n">
        <v>1</v>
      </c>
      <c r="D24" s="5" t="n">
        <v>1</v>
      </c>
      <c r="E24" s="29" t="n">
        <v>1</v>
      </c>
    </row>
    <row r="25" customFormat="false" ht="15" hidden="false" customHeight="false" outlineLevel="0" collapsed="false">
      <c r="A25" s="5" t="n">
        <v>22</v>
      </c>
      <c r="B25" s="5" t="s">
        <v>106</v>
      </c>
      <c r="C25" s="5" t="n">
        <v>1</v>
      </c>
      <c r="D25" s="5" t="n">
        <v>1</v>
      </c>
      <c r="E25" s="29" t="n">
        <v>1</v>
      </c>
    </row>
    <row r="26" customFormat="false" ht="15" hidden="false" customHeight="false" outlineLevel="0" collapsed="false">
      <c r="A26" s="5" t="n">
        <v>23</v>
      </c>
      <c r="B26" s="5" t="s">
        <v>242</v>
      </c>
      <c r="C26" s="5" t="n">
        <v>1</v>
      </c>
      <c r="D26" s="5" t="n">
        <v>1</v>
      </c>
      <c r="E26" s="29" t="n">
        <v>1</v>
      </c>
    </row>
    <row r="27" customFormat="false" ht="15" hidden="false" customHeight="false" outlineLevel="0" collapsed="false">
      <c r="A27" s="5" t="n">
        <v>24</v>
      </c>
      <c r="B27" s="5" t="s">
        <v>243</v>
      </c>
      <c r="C27" s="5" t="n">
        <v>1</v>
      </c>
      <c r="D27" s="5" t="n">
        <v>1</v>
      </c>
      <c r="E27" s="29" t="n">
        <v>1</v>
      </c>
    </row>
    <row r="28" customFormat="false" ht="15" hidden="false" customHeight="false" outlineLevel="0" collapsed="false">
      <c r="A28" s="5" t="n">
        <v>25</v>
      </c>
      <c r="B28" s="5" t="s">
        <v>250</v>
      </c>
      <c r="C28" s="5" t="n">
        <v>1</v>
      </c>
      <c r="D28" s="5" t="n">
        <v>1</v>
      </c>
      <c r="E28" s="29" t="n">
        <v>1</v>
      </c>
    </row>
    <row r="29" customFormat="false" ht="15" hidden="false" customHeight="false" outlineLevel="0" collapsed="false">
      <c r="A29" s="5" t="n">
        <v>26</v>
      </c>
      <c r="B29" s="5" t="s">
        <v>251</v>
      </c>
      <c r="C29" s="5" t="n">
        <v>1</v>
      </c>
      <c r="D29" s="5" t="n">
        <v>1</v>
      </c>
      <c r="E29" s="29" t="n">
        <v>1</v>
      </c>
    </row>
    <row r="30" customFormat="false" ht="15" hidden="false" customHeight="false" outlineLevel="0" collapsed="false">
      <c r="A30" s="5" t="n">
        <v>27</v>
      </c>
      <c r="B30" s="5" t="s">
        <v>271</v>
      </c>
      <c r="C30" s="5" t="n">
        <v>1</v>
      </c>
      <c r="D30" s="5" t="n">
        <v>1</v>
      </c>
      <c r="E30" s="29" t="n">
        <v>1</v>
      </c>
    </row>
    <row r="31" customFormat="false" ht="15" hidden="false" customHeight="false" outlineLevel="0" collapsed="false">
      <c r="A31" s="5" t="n">
        <v>28</v>
      </c>
      <c r="B31" s="5" t="s">
        <v>272</v>
      </c>
      <c r="C31" s="5" t="n">
        <v>1</v>
      </c>
      <c r="D31" s="5" t="n">
        <v>1</v>
      </c>
      <c r="E31" s="29" t="n">
        <v>1</v>
      </c>
    </row>
    <row r="32" customFormat="false" ht="15" hidden="false" customHeight="false" outlineLevel="0" collapsed="false">
      <c r="A32" s="5" t="n">
        <v>29</v>
      </c>
      <c r="B32" s="5" t="s">
        <v>273</v>
      </c>
      <c r="C32" s="5" t="n">
        <v>1</v>
      </c>
      <c r="D32" s="5" t="n">
        <v>1</v>
      </c>
      <c r="E32" s="29" t="n">
        <v>1</v>
      </c>
    </row>
    <row r="33" customFormat="false" ht="15" hidden="false" customHeight="false" outlineLevel="0" collapsed="false">
      <c r="A33" s="5" t="n">
        <v>30</v>
      </c>
      <c r="B33" s="5" t="s">
        <v>274</v>
      </c>
      <c r="C33" s="5" t="n">
        <v>1</v>
      </c>
      <c r="D33" s="5" t="n">
        <v>1</v>
      </c>
      <c r="E33" s="29" t="n">
        <v>1</v>
      </c>
    </row>
    <row r="34" customFormat="false" ht="15" hidden="false" customHeight="false" outlineLevel="0" collapsed="false">
      <c r="A34" s="5" t="n">
        <v>31</v>
      </c>
      <c r="B34" s="5" t="s">
        <v>269</v>
      </c>
      <c r="C34" s="5" t="n">
        <v>1</v>
      </c>
      <c r="D34" s="5" t="n">
        <v>1</v>
      </c>
      <c r="E34" s="29" t="n">
        <v>1</v>
      </c>
    </row>
    <row r="35" customFormat="false" ht="15" hidden="false" customHeight="false" outlineLevel="0" collapsed="false">
      <c r="A35" s="5" t="n">
        <v>32</v>
      </c>
      <c r="B35" s="5" t="s">
        <v>270</v>
      </c>
      <c r="C35" s="5" t="n">
        <v>1</v>
      </c>
      <c r="D35" s="5" t="n">
        <v>1</v>
      </c>
      <c r="E35" s="29" t="n">
        <v>1</v>
      </c>
    </row>
    <row r="36" customFormat="false" ht="15" hidden="false" customHeight="false" outlineLevel="0" collapsed="false">
      <c r="A36" s="5" t="n">
        <v>33</v>
      </c>
      <c r="B36" s="5" t="s">
        <v>123</v>
      </c>
      <c r="C36" s="5" t="n">
        <v>1</v>
      </c>
      <c r="D36" s="5" t="n">
        <v>1</v>
      </c>
      <c r="E36" s="29" t="n">
        <v>1</v>
      </c>
    </row>
    <row r="37" customFormat="false" ht="15" hidden="false" customHeight="false" outlineLevel="0" collapsed="false">
      <c r="A37" s="5" t="n">
        <v>34</v>
      </c>
      <c r="B37" s="5" t="s">
        <v>124</v>
      </c>
      <c r="C37" s="5" t="n">
        <v>1</v>
      </c>
      <c r="D37" s="5" t="n">
        <v>1</v>
      </c>
      <c r="E37" s="29" t="n">
        <v>1</v>
      </c>
    </row>
    <row r="38" customFormat="false" ht="15" hidden="false" customHeight="false" outlineLevel="0" collapsed="false">
      <c r="A38" s="5" t="n">
        <v>35</v>
      </c>
      <c r="B38" s="5" t="s">
        <v>129</v>
      </c>
      <c r="C38" s="5" t="n">
        <v>1</v>
      </c>
      <c r="D38" s="5" t="n">
        <v>1</v>
      </c>
      <c r="E38" s="29" t="n">
        <v>1</v>
      </c>
    </row>
    <row r="39" customFormat="false" ht="15" hidden="false" customHeight="false" outlineLevel="0" collapsed="false">
      <c r="A39" s="5" t="n">
        <v>36</v>
      </c>
      <c r="B39" s="5" t="s">
        <v>130</v>
      </c>
      <c r="C39" s="5" t="n">
        <v>1</v>
      </c>
      <c r="D39" s="5" t="n">
        <v>1</v>
      </c>
      <c r="E39" s="29" t="n">
        <v>1</v>
      </c>
    </row>
    <row r="40" customFormat="false" ht="15" hidden="false" customHeight="false" outlineLevel="0" collapsed="false">
      <c r="A40" s="5" t="n">
        <v>37</v>
      </c>
      <c r="B40" s="5" t="s">
        <v>118</v>
      </c>
      <c r="C40" s="5" t="n">
        <v>1</v>
      </c>
      <c r="D40" s="5" t="n">
        <v>1</v>
      </c>
      <c r="E40" s="29" t="n">
        <v>1</v>
      </c>
    </row>
    <row r="41" customFormat="false" ht="15" hidden="false" customHeight="false" outlineLevel="0" collapsed="false">
      <c r="A41" s="5" t="n">
        <v>38</v>
      </c>
      <c r="B41" s="5" t="s">
        <v>119</v>
      </c>
      <c r="C41" s="5" t="n">
        <v>1</v>
      </c>
      <c r="D41" s="5" t="n">
        <v>1</v>
      </c>
      <c r="E41" s="29" t="n">
        <v>1</v>
      </c>
    </row>
    <row r="42" customFormat="false" ht="15" hidden="false" customHeight="false" outlineLevel="0" collapsed="false">
      <c r="A42" s="5" t="n">
        <v>39</v>
      </c>
      <c r="B42" s="5" t="s">
        <v>112</v>
      </c>
      <c r="C42" s="5" t="n">
        <v>1</v>
      </c>
      <c r="D42" s="5" t="n">
        <v>1</v>
      </c>
      <c r="E42" s="29" t="n">
        <v>1</v>
      </c>
    </row>
    <row r="43" customFormat="false" ht="15" hidden="false" customHeight="false" outlineLevel="0" collapsed="false">
      <c r="A43" s="5" t="n">
        <v>40</v>
      </c>
      <c r="B43" s="5" t="s">
        <v>113</v>
      </c>
      <c r="C43" s="5" t="n">
        <v>1</v>
      </c>
      <c r="D43" s="5" t="n">
        <v>1</v>
      </c>
      <c r="E43" s="29" t="n">
        <v>1</v>
      </c>
    </row>
    <row r="44" customFormat="false" ht="15" hidden="false" customHeight="false" outlineLevel="0" collapsed="false">
      <c r="A44" s="5" t="n">
        <v>41</v>
      </c>
      <c r="B44" s="5" t="s">
        <v>265</v>
      </c>
      <c r="C44" s="5" t="n">
        <v>1</v>
      </c>
      <c r="D44" s="5" t="n">
        <v>1</v>
      </c>
      <c r="E44" s="29" t="n">
        <v>1</v>
      </c>
    </row>
    <row r="45" customFormat="false" ht="15" hidden="false" customHeight="false" outlineLevel="0" collapsed="false">
      <c r="A45" s="5" t="n">
        <v>42</v>
      </c>
      <c r="B45" s="5" t="s">
        <v>266</v>
      </c>
      <c r="C45" s="5" t="n">
        <v>1</v>
      </c>
      <c r="D45" s="5" t="n">
        <v>1</v>
      </c>
      <c r="E45" s="29" t="n">
        <v>1</v>
      </c>
    </row>
    <row r="46" customFormat="false" ht="15" hidden="false" customHeight="false" outlineLevel="0" collapsed="false">
      <c r="A46" s="5" t="n">
        <v>43</v>
      </c>
      <c r="B46" s="5" t="s">
        <v>115</v>
      </c>
      <c r="C46" s="5" t="n">
        <v>1</v>
      </c>
      <c r="D46" s="5" t="n">
        <v>1</v>
      </c>
      <c r="E46" s="29" t="n">
        <v>1</v>
      </c>
    </row>
    <row r="47" customFormat="false" ht="15" hidden="false" customHeight="false" outlineLevel="0" collapsed="false">
      <c r="A47" s="5" t="n">
        <v>44</v>
      </c>
      <c r="B47" s="5" t="s">
        <v>116</v>
      </c>
      <c r="C47" s="5" t="n">
        <v>1</v>
      </c>
      <c r="D47" s="5" t="n">
        <v>1</v>
      </c>
      <c r="E47" s="29" t="n">
        <v>1</v>
      </c>
    </row>
    <row r="48" customFormat="false" ht="15" hidden="false" customHeight="false" outlineLevel="0" collapsed="false">
      <c r="A48" s="5" t="n">
        <v>45</v>
      </c>
      <c r="B48" s="5" t="s">
        <v>120</v>
      </c>
      <c r="C48" s="5" t="n">
        <v>1</v>
      </c>
      <c r="D48" s="5" t="n">
        <v>1</v>
      </c>
      <c r="E48" s="29" t="n">
        <v>1</v>
      </c>
    </row>
    <row r="49" customFormat="false" ht="15" hidden="false" customHeight="false" outlineLevel="0" collapsed="false">
      <c r="A49" s="5" t="n">
        <v>46</v>
      </c>
      <c r="B49" s="5" t="s">
        <v>121</v>
      </c>
      <c r="C49" s="5" t="n">
        <v>1</v>
      </c>
      <c r="D49" s="5" t="n">
        <v>1</v>
      </c>
      <c r="E49" s="29" t="n">
        <v>1</v>
      </c>
    </row>
    <row r="50" customFormat="false" ht="15" hidden="false" customHeight="false" outlineLevel="0" collapsed="false">
      <c r="A50" s="5" t="n">
        <v>47</v>
      </c>
      <c r="B50" s="5" t="s">
        <v>263</v>
      </c>
      <c r="C50" s="5" t="n">
        <v>1</v>
      </c>
      <c r="D50" s="5" t="n">
        <v>1</v>
      </c>
      <c r="E50" s="29" t="n">
        <v>1</v>
      </c>
    </row>
    <row r="51" customFormat="false" ht="15" hidden="false" customHeight="false" outlineLevel="0" collapsed="false">
      <c r="A51" s="5" t="n">
        <v>48</v>
      </c>
      <c r="B51" s="5" t="s">
        <v>264</v>
      </c>
      <c r="C51" s="5" t="n">
        <v>1</v>
      </c>
      <c r="D51" s="5" t="n">
        <v>1</v>
      </c>
      <c r="E51" s="29" t="n">
        <v>1</v>
      </c>
    </row>
    <row r="52" customFormat="false" ht="15" hidden="false" customHeight="false" outlineLevel="0" collapsed="false">
      <c r="A52" s="5" t="n">
        <v>49</v>
      </c>
      <c r="B52" s="5" t="s">
        <v>126</v>
      </c>
      <c r="C52" s="5" t="n">
        <v>1</v>
      </c>
      <c r="D52" s="5" t="n">
        <v>1</v>
      </c>
      <c r="E52" s="29" t="n">
        <v>1</v>
      </c>
    </row>
    <row r="53" customFormat="false" ht="15" hidden="false" customHeight="false" outlineLevel="0" collapsed="false">
      <c r="A53" s="5" t="n">
        <v>50</v>
      </c>
      <c r="B53" s="5" t="s">
        <v>127</v>
      </c>
      <c r="C53" s="5" t="n">
        <v>1</v>
      </c>
      <c r="D53" s="5" t="n">
        <v>1</v>
      </c>
      <c r="E53" s="29" t="n">
        <v>1</v>
      </c>
    </row>
    <row r="54" customFormat="false" ht="15" hidden="false" customHeight="false" outlineLevel="0" collapsed="false">
      <c r="A54" s="5" t="n">
        <v>51</v>
      </c>
      <c r="B54" s="5" t="s">
        <v>231</v>
      </c>
      <c r="C54" s="5" t="n">
        <v>1</v>
      </c>
      <c r="D54" s="5" t="n">
        <v>1</v>
      </c>
      <c r="E54" s="29" t="n">
        <v>1</v>
      </c>
    </row>
    <row r="55" customFormat="false" ht="15" hidden="false" customHeight="false" outlineLevel="0" collapsed="false">
      <c r="A55" s="5" t="n">
        <v>52</v>
      </c>
      <c r="B55" s="5" t="s">
        <v>232</v>
      </c>
      <c r="C55" s="5" t="n">
        <v>1</v>
      </c>
      <c r="D55" s="5" t="n">
        <v>1</v>
      </c>
      <c r="E55" s="29" t="n">
        <v>1</v>
      </c>
    </row>
    <row r="56" customFormat="false" ht="15" hidden="false" customHeight="false" outlineLevel="0" collapsed="false">
      <c r="A56" s="5" t="n">
        <v>53</v>
      </c>
      <c r="B56" s="5" t="s">
        <v>81</v>
      </c>
      <c r="C56" s="5" t="n">
        <v>1</v>
      </c>
      <c r="D56" s="5" t="n">
        <v>1</v>
      </c>
      <c r="E56" s="29" t="n">
        <v>1</v>
      </c>
    </row>
    <row r="57" customFormat="false" ht="15" hidden="false" customHeight="false" outlineLevel="0" collapsed="false">
      <c r="A57" s="5" t="n">
        <v>54</v>
      </c>
      <c r="B57" s="5" t="s">
        <v>82</v>
      </c>
      <c r="C57" s="5" t="n">
        <v>1</v>
      </c>
      <c r="D57" s="5" t="n">
        <v>1</v>
      </c>
      <c r="E57" s="29" t="n">
        <v>1</v>
      </c>
    </row>
    <row r="58" customFormat="false" ht="15" hidden="false" customHeight="false" outlineLevel="0" collapsed="false">
      <c r="A58" s="5" t="n">
        <v>55</v>
      </c>
      <c r="B58" s="5" t="s">
        <v>297</v>
      </c>
      <c r="C58" s="5" t="n">
        <v>1</v>
      </c>
      <c r="D58" s="5" t="n">
        <v>1</v>
      </c>
      <c r="E58" s="29" t="n">
        <v>1</v>
      </c>
    </row>
    <row r="59" customFormat="false" ht="15" hidden="false" customHeight="false" outlineLevel="0" collapsed="false">
      <c r="A59" s="5" t="n">
        <v>56</v>
      </c>
      <c r="B59" s="5" t="s">
        <v>298</v>
      </c>
      <c r="C59" s="5" t="n">
        <v>1</v>
      </c>
      <c r="D59" s="5" t="n">
        <v>1</v>
      </c>
      <c r="E59" s="29" t="n">
        <v>1</v>
      </c>
    </row>
    <row r="60" customFormat="false" ht="15" hidden="false" customHeight="false" outlineLevel="0" collapsed="false">
      <c r="A60" s="5" t="n">
        <v>57</v>
      </c>
      <c r="B60" s="5" t="s">
        <v>171</v>
      </c>
      <c r="C60" s="5" t="n">
        <v>1</v>
      </c>
      <c r="D60" s="5" t="n">
        <v>1</v>
      </c>
      <c r="E60" s="29" t="n">
        <v>1</v>
      </c>
    </row>
    <row r="61" customFormat="false" ht="15" hidden="false" customHeight="false" outlineLevel="0" collapsed="false">
      <c r="A61" s="5" t="n">
        <v>58</v>
      </c>
      <c r="B61" s="5" t="s">
        <v>172</v>
      </c>
      <c r="C61" s="5" t="n">
        <v>1</v>
      </c>
      <c r="D61" s="5" t="n">
        <v>1</v>
      </c>
      <c r="E61" s="29" t="n">
        <v>1</v>
      </c>
    </row>
    <row r="62" customFormat="false" ht="15" hidden="false" customHeight="false" outlineLevel="0" collapsed="false">
      <c r="A62" s="5" t="n">
        <v>59</v>
      </c>
      <c r="B62" s="5" t="s">
        <v>315</v>
      </c>
      <c r="C62" s="5" t="n">
        <v>1</v>
      </c>
      <c r="D62" s="5" t="n">
        <v>1</v>
      </c>
      <c r="E62" s="29" t="n">
        <v>1</v>
      </c>
    </row>
    <row r="63" customFormat="false" ht="15" hidden="false" customHeight="false" outlineLevel="0" collapsed="false">
      <c r="A63" s="5" t="n">
        <v>60</v>
      </c>
      <c r="B63" s="5" t="s">
        <v>306</v>
      </c>
      <c r="C63" s="5" t="n">
        <v>1</v>
      </c>
      <c r="D63" s="5" t="n">
        <v>1</v>
      </c>
      <c r="E63" s="29" t="n">
        <v>1</v>
      </c>
    </row>
    <row r="64" customFormat="false" ht="15" hidden="false" customHeight="false" outlineLevel="0" collapsed="false">
      <c r="A64" s="5" t="n">
        <v>61</v>
      </c>
      <c r="B64" s="5" t="s">
        <v>309</v>
      </c>
      <c r="C64" s="5" t="n">
        <v>1</v>
      </c>
      <c r="D64" s="5" t="n">
        <v>1</v>
      </c>
      <c r="E64" s="29" t="n">
        <v>1</v>
      </c>
    </row>
    <row r="65" customFormat="false" ht="15" hidden="false" customHeight="false" outlineLevel="0" collapsed="false">
      <c r="A65" s="5" t="n">
        <v>62</v>
      </c>
      <c r="B65" s="5" t="s">
        <v>310</v>
      </c>
      <c r="C65" s="5" t="n">
        <v>1</v>
      </c>
      <c r="D65" s="5" t="n">
        <v>1</v>
      </c>
      <c r="E65" s="29" t="n">
        <v>1</v>
      </c>
    </row>
    <row r="66" customFormat="false" ht="15" hidden="false" customHeight="false" outlineLevel="0" collapsed="false">
      <c r="A66" s="5" t="n">
        <v>63</v>
      </c>
      <c r="B66" s="5" t="s">
        <v>210</v>
      </c>
      <c r="C66" s="5" t="n">
        <v>1</v>
      </c>
      <c r="D66" s="5" t="n">
        <v>1</v>
      </c>
      <c r="E66" s="29" t="n">
        <v>1</v>
      </c>
    </row>
    <row r="67" customFormat="false" ht="15" hidden="false" customHeight="false" outlineLevel="0" collapsed="false">
      <c r="A67" s="5" t="n">
        <v>64</v>
      </c>
      <c r="B67" s="5" t="s">
        <v>211</v>
      </c>
      <c r="C67" s="5" t="n">
        <v>1</v>
      </c>
      <c r="D67" s="5" t="n">
        <v>1</v>
      </c>
      <c r="E67" s="29" t="n">
        <v>1</v>
      </c>
    </row>
    <row r="68" customFormat="false" ht="15" hidden="false" customHeight="false" outlineLevel="0" collapsed="false">
      <c r="A68" s="5" t="n">
        <v>65</v>
      </c>
      <c r="B68" s="5" t="s">
        <v>328</v>
      </c>
      <c r="C68" s="5" t="n">
        <v>1</v>
      </c>
      <c r="D68" s="5" t="n">
        <v>1</v>
      </c>
      <c r="E68" s="29" t="n">
        <v>1</v>
      </c>
    </row>
    <row r="69" customFormat="false" ht="15" hidden="false" customHeight="false" outlineLevel="0" collapsed="false">
      <c r="A69" s="5" t="n">
        <v>66</v>
      </c>
      <c r="B69" s="5" t="s">
        <v>329</v>
      </c>
      <c r="C69" s="5" t="n">
        <v>1</v>
      </c>
      <c r="D69" s="5" t="n">
        <v>1</v>
      </c>
      <c r="E69" s="29" t="n">
        <v>1</v>
      </c>
    </row>
    <row r="70" customFormat="false" ht="15" hidden="false" customHeight="false" outlineLevel="0" collapsed="false">
      <c r="A70" s="5" t="n">
        <v>67</v>
      </c>
      <c r="B70" s="5" t="s">
        <v>337</v>
      </c>
      <c r="C70" s="5" t="n">
        <v>1</v>
      </c>
      <c r="D70" s="5" t="n">
        <v>1</v>
      </c>
      <c r="E70" s="29" t="n">
        <v>1</v>
      </c>
    </row>
    <row r="71" customFormat="false" ht="15" hidden="false" customHeight="false" outlineLevel="0" collapsed="false">
      <c r="A71" s="5" t="n">
        <v>68</v>
      </c>
      <c r="B71" s="5" t="s">
        <v>338</v>
      </c>
      <c r="C71" s="5" t="n">
        <v>1</v>
      </c>
      <c r="D71" s="5" t="n">
        <v>1</v>
      </c>
      <c r="E71" s="29" t="n">
        <v>1</v>
      </c>
    </row>
    <row r="72" customFormat="false" ht="15" hidden="false" customHeight="false" outlineLevel="0" collapsed="false">
      <c r="A72" s="5" t="n">
        <v>69</v>
      </c>
      <c r="B72" s="5" t="s">
        <v>197</v>
      </c>
      <c r="C72" s="5" t="n">
        <v>1</v>
      </c>
      <c r="D72" s="5" t="n">
        <v>1</v>
      </c>
      <c r="E72" s="29" t="n">
        <v>1</v>
      </c>
    </row>
    <row r="73" customFormat="false" ht="15" hidden="false" customHeight="false" outlineLevel="0" collapsed="false">
      <c r="A73" s="5" t="n">
        <v>70</v>
      </c>
      <c r="B73" s="5" t="s">
        <v>198</v>
      </c>
      <c r="C73" s="5" t="n">
        <v>1</v>
      </c>
      <c r="D73" s="5" t="n">
        <v>1</v>
      </c>
      <c r="E73" s="29" t="n">
        <v>1</v>
      </c>
    </row>
    <row r="74" customFormat="false" ht="15" hidden="false" customHeight="false" outlineLevel="0" collapsed="false">
      <c r="A74" s="5" t="n">
        <v>71</v>
      </c>
      <c r="B74" s="5" t="s">
        <v>205</v>
      </c>
      <c r="C74" s="5" t="n">
        <v>1</v>
      </c>
      <c r="D74" s="5" t="n">
        <v>1</v>
      </c>
      <c r="E74" s="29" t="n">
        <v>1</v>
      </c>
    </row>
    <row r="75" customFormat="false" ht="15" hidden="false" customHeight="false" outlineLevel="0" collapsed="false">
      <c r="A75" s="5" t="n">
        <v>72</v>
      </c>
      <c r="B75" s="5" t="s">
        <v>206</v>
      </c>
      <c r="C75" s="5" t="n">
        <v>1</v>
      </c>
      <c r="D75" s="5" t="n">
        <v>1</v>
      </c>
      <c r="E75" s="29" t="n">
        <v>1</v>
      </c>
    </row>
    <row r="76" customFormat="false" ht="15" hidden="false" customHeight="false" outlineLevel="0" collapsed="false">
      <c r="A76" s="5" t="n">
        <v>73</v>
      </c>
      <c r="B76" s="5" t="s">
        <v>213</v>
      </c>
      <c r="C76" s="5" t="n">
        <v>1</v>
      </c>
      <c r="D76" s="5" t="n">
        <v>1</v>
      </c>
      <c r="E76" s="29" t="n">
        <v>1</v>
      </c>
    </row>
    <row r="77" customFormat="false" ht="15" hidden="false" customHeight="false" outlineLevel="0" collapsed="false">
      <c r="A77" s="5" t="n">
        <v>74</v>
      </c>
      <c r="B77" s="5" t="s">
        <v>214</v>
      </c>
      <c r="C77" s="5" t="n">
        <v>1</v>
      </c>
      <c r="D77" s="5" t="n">
        <v>1</v>
      </c>
      <c r="E77" s="29" t="n">
        <v>1</v>
      </c>
    </row>
    <row r="78" customFormat="false" ht="15" hidden="false" customHeight="false" outlineLevel="0" collapsed="false">
      <c r="A78" s="5" t="n">
        <v>75</v>
      </c>
      <c r="B78" s="5" t="s">
        <v>160</v>
      </c>
      <c r="C78" s="5" t="n">
        <v>1</v>
      </c>
      <c r="D78" s="5" t="n">
        <v>1</v>
      </c>
      <c r="E78" s="29" t="n">
        <v>1</v>
      </c>
    </row>
    <row r="79" customFormat="false" ht="15" hidden="false" customHeight="false" outlineLevel="0" collapsed="false">
      <c r="A79" s="5" t="n">
        <v>76</v>
      </c>
      <c r="B79" s="5" t="s">
        <v>161</v>
      </c>
      <c r="C79" s="5" t="n">
        <v>1</v>
      </c>
      <c r="D79" s="5" t="n">
        <v>1</v>
      </c>
      <c r="E79" s="29" t="n">
        <v>1</v>
      </c>
    </row>
    <row r="80" customFormat="false" ht="15" hidden="false" customHeight="false" outlineLevel="0" collapsed="false">
      <c r="A80" s="5" t="n">
        <v>77</v>
      </c>
      <c r="B80" s="5" t="s">
        <v>157</v>
      </c>
      <c r="C80" s="5" t="n">
        <v>1</v>
      </c>
      <c r="D80" s="5" t="n">
        <v>1</v>
      </c>
      <c r="E80" s="29" t="n">
        <v>1</v>
      </c>
    </row>
    <row r="81" customFormat="false" ht="15" hidden="false" customHeight="false" outlineLevel="0" collapsed="false">
      <c r="A81" s="5" t="n">
        <v>78</v>
      </c>
      <c r="B81" s="5" t="s">
        <v>158</v>
      </c>
      <c r="C81" s="5" t="n">
        <v>1</v>
      </c>
      <c r="D81" s="5" t="n">
        <v>1</v>
      </c>
      <c r="E81" s="29" t="n">
        <v>1</v>
      </c>
    </row>
    <row r="82" customFormat="false" ht="15" hidden="false" customHeight="false" outlineLevel="0" collapsed="false">
      <c r="A82" s="5" t="n">
        <v>79</v>
      </c>
      <c r="B82" s="5" t="s">
        <v>295</v>
      </c>
      <c r="C82" s="5" t="n">
        <v>1</v>
      </c>
      <c r="D82" s="5" t="n">
        <v>1</v>
      </c>
      <c r="E82" s="29" t="n">
        <v>1</v>
      </c>
    </row>
    <row r="83" customFormat="false" ht="15" hidden="false" customHeight="false" outlineLevel="0" collapsed="false">
      <c r="A83" s="5" t="n">
        <v>80</v>
      </c>
      <c r="B83" s="5" t="s">
        <v>296</v>
      </c>
      <c r="C83" s="5" t="n">
        <v>1</v>
      </c>
      <c r="D83" s="5" t="n">
        <v>1</v>
      </c>
      <c r="E83" s="29" t="n">
        <v>1</v>
      </c>
    </row>
    <row r="84" customFormat="false" ht="15" hidden="false" customHeight="false" outlineLevel="0" collapsed="false">
      <c r="A84" s="5" t="n">
        <v>81</v>
      </c>
      <c r="B84" s="5" t="s">
        <v>163</v>
      </c>
      <c r="C84" s="5" t="n">
        <v>1</v>
      </c>
      <c r="D84" s="5" t="n">
        <v>1</v>
      </c>
      <c r="E84" s="29" t="n">
        <v>1</v>
      </c>
    </row>
    <row r="85" customFormat="false" ht="15" hidden="false" customHeight="false" outlineLevel="0" collapsed="false">
      <c r="A85" s="5" t="n">
        <v>82</v>
      </c>
      <c r="B85" s="5" t="s">
        <v>164</v>
      </c>
      <c r="C85" s="5" t="n">
        <v>1</v>
      </c>
      <c r="D85" s="5" t="n">
        <v>1</v>
      </c>
      <c r="E85" s="29" t="n">
        <v>1</v>
      </c>
    </row>
    <row r="86" customFormat="false" ht="15" hidden="false" customHeight="false" outlineLevel="0" collapsed="false">
      <c r="A86" s="5" t="n">
        <v>83</v>
      </c>
      <c r="B86" s="5" t="s">
        <v>151</v>
      </c>
      <c r="C86" s="5" t="n">
        <v>1</v>
      </c>
      <c r="D86" s="5" t="n">
        <v>1</v>
      </c>
      <c r="E86" s="29" t="n">
        <v>1</v>
      </c>
    </row>
    <row r="87" customFormat="false" ht="15" hidden="false" customHeight="false" outlineLevel="0" collapsed="false">
      <c r="A87" s="5" t="n">
        <v>84</v>
      </c>
      <c r="B87" s="5" t="s">
        <v>152</v>
      </c>
      <c r="C87" s="5" t="n">
        <v>1</v>
      </c>
      <c r="D87" s="5" t="n">
        <v>1</v>
      </c>
      <c r="E87" s="29" t="n">
        <v>1</v>
      </c>
    </row>
    <row r="88" customFormat="false" ht="15" hidden="false" customHeight="false" outlineLevel="0" collapsed="false">
      <c r="A88" s="5" t="n">
        <v>85</v>
      </c>
      <c r="B88" s="5" t="s">
        <v>318</v>
      </c>
      <c r="C88" s="5" t="n">
        <v>1</v>
      </c>
      <c r="D88" s="5" t="n">
        <v>1</v>
      </c>
      <c r="E88" s="29" t="n">
        <v>1</v>
      </c>
    </row>
    <row r="89" customFormat="false" ht="15" hidden="false" customHeight="false" outlineLevel="0" collapsed="false">
      <c r="A89" s="5" t="n">
        <v>86</v>
      </c>
      <c r="B89" s="5" t="s">
        <v>319</v>
      </c>
      <c r="C89" s="5" t="n">
        <v>1</v>
      </c>
      <c r="D89" s="5" t="n">
        <v>1</v>
      </c>
      <c r="E89" s="29" t="n">
        <v>1</v>
      </c>
    </row>
    <row r="90" customFormat="false" ht="15" hidden="false" customHeight="false" outlineLevel="0" collapsed="false">
      <c r="A90" s="5" t="n">
        <v>87</v>
      </c>
      <c r="B90" s="5" t="s">
        <v>181</v>
      </c>
      <c r="C90" s="5" t="n">
        <v>1</v>
      </c>
      <c r="D90" s="5" t="n">
        <v>1</v>
      </c>
      <c r="E90" s="29" t="n">
        <v>1</v>
      </c>
    </row>
    <row r="91" customFormat="false" ht="15" hidden="false" customHeight="false" outlineLevel="0" collapsed="false">
      <c r="A91" s="5" t="n">
        <v>88</v>
      </c>
      <c r="B91" s="5" t="s">
        <v>182</v>
      </c>
      <c r="C91" s="5" t="n">
        <v>1</v>
      </c>
      <c r="D91" s="5" t="n">
        <v>1</v>
      </c>
      <c r="E91" s="29" t="n">
        <v>1</v>
      </c>
    </row>
    <row r="92" customFormat="false" ht="15" hidden="false" customHeight="false" outlineLevel="0" collapsed="false">
      <c r="A92" s="5" t="n">
        <v>89</v>
      </c>
      <c r="B92" s="5" t="s">
        <v>136</v>
      </c>
      <c r="C92" s="5" t="n">
        <v>0</v>
      </c>
      <c r="D92" s="5" t="n">
        <v>1</v>
      </c>
      <c r="E92" s="30" t="n">
        <v>0</v>
      </c>
    </row>
    <row r="93" customFormat="false" ht="15" hidden="false" customHeight="false" outlineLevel="0" collapsed="false">
      <c r="A93" s="5" t="n">
        <v>90</v>
      </c>
      <c r="B93" s="5" t="s">
        <v>137</v>
      </c>
      <c r="C93" s="5" t="n">
        <v>0</v>
      </c>
      <c r="D93" s="5" t="n">
        <v>1</v>
      </c>
      <c r="E93" s="30" t="n">
        <v>0</v>
      </c>
    </row>
    <row r="94" customFormat="false" ht="15" hidden="false" customHeight="false" outlineLevel="0" collapsed="false">
      <c r="A94" s="5" t="n">
        <v>91</v>
      </c>
      <c r="B94" s="5" t="s">
        <v>289</v>
      </c>
      <c r="C94" s="5" t="n">
        <v>0</v>
      </c>
      <c r="D94" s="5" t="n">
        <v>1</v>
      </c>
      <c r="E94" s="30" t="n">
        <v>0</v>
      </c>
    </row>
    <row r="95" customFormat="false" ht="15" hidden="false" customHeight="false" outlineLevel="0" collapsed="false">
      <c r="A95" s="5" t="n">
        <v>92</v>
      </c>
      <c r="B95" s="5" t="s">
        <v>290</v>
      </c>
      <c r="C95" s="5" t="n">
        <v>0</v>
      </c>
      <c r="D95" s="5" t="n">
        <v>1</v>
      </c>
      <c r="E95" s="30" t="n">
        <v>0</v>
      </c>
    </row>
    <row r="96" customFormat="false" ht="15" hidden="false" customHeight="false" outlineLevel="0" collapsed="false">
      <c r="A96" s="5" t="n">
        <v>93</v>
      </c>
      <c r="B96" s="5" t="s">
        <v>139</v>
      </c>
      <c r="C96" s="5" t="n">
        <v>0</v>
      </c>
      <c r="D96" s="5" t="n">
        <v>1</v>
      </c>
      <c r="E96" s="30" t="n">
        <v>0</v>
      </c>
    </row>
    <row r="97" customFormat="false" ht="15" hidden="false" customHeight="false" outlineLevel="0" collapsed="false">
      <c r="A97" s="5" t="n">
        <v>94</v>
      </c>
      <c r="B97" s="5" t="s">
        <v>140</v>
      </c>
      <c r="C97" s="5" t="n">
        <v>0</v>
      </c>
      <c r="D97" s="5" t="n">
        <v>1</v>
      </c>
      <c r="E97" s="30" t="n">
        <v>0</v>
      </c>
    </row>
    <row r="98" customFormat="false" ht="15" hidden="false" customHeight="false" outlineLevel="0" collapsed="false">
      <c r="A98" s="5" t="n">
        <v>95</v>
      </c>
      <c r="B98" s="5" t="s">
        <v>253</v>
      </c>
      <c r="C98" s="5" t="n">
        <v>0</v>
      </c>
      <c r="D98" s="5" t="n">
        <v>1</v>
      </c>
      <c r="E98" s="30" t="n">
        <v>0</v>
      </c>
    </row>
    <row r="99" customFormat="false" ht="15" hidden="false" customHeight="false" outlineLevel="0" collapsed="false">
      <c r="A99" s="5" t="n">
        <v>96</v>
      </c>
      <c r="B99" s="5" t="s">
        <v>254</v>
      </c>
      <c r="C99" s="5" t="n">
        <v>0</v>
      </c>
      <c r="D99" s="5" t="n">
        <v>1</v>
      </c>
      <c r="E99" s="30" t="n">
        <v>0</v>
      </c>
    </row>
    <row r="100" customFormat="false" ht="15" hidden="false" customHeight="false" outlineLevel="0" collapsed="false">
      <c r="A100" s="5" t="n">
        <v>97</v>
      </c>
      <c r="B100" s="5" t="s">
        <v>94</v>
      </c>
      <c r="C100" s="5" t="n">
        <v>0</v>
      </c>
      <c r="D100" s="5" t="n">
        <v>1</v>
      </c>
      <c r="E100" s="30" t="n">
        <v>0</v>
      </c>
    </row>
    <row r="101" customFormat="false" ht="15" hidden="false" customHeight="false" outlineLevel="0" collapsed="false">
      <c r="A101" s="5" t="n">
        <v>98</v>
      </c>
      <c r="B101" s="5" t="s">
        <v>95</v>
      </c>
      <c r="C101" s="5" t="n">
        <v>0</v>
      </c>
      <c r="D101" s="5" t="n">
        <v>1</v>
      </c>
      <c r="E101" s="30" t="n">
        <v>0</v>
      </c>
    </row>
    <row r="102" customFormat="false" ht="15" hidden="false" customHeight="false" outlineLevel="0" collapsed="false">
      <c r="A102" s="5" t="n">
        <v>99</v>
      </c>
      <c r="B102" s="5" t="s">
        <v>132</v>
      </c>
      <c r="C102" s="5" t="n">
        <v>0</v>
      </c>
      <c r="D102" s="5" t="n">
        <v>1</v>
      </c>
      <c r="E102" s="30" t="n">
        <v>0</v>
      </c>
    </row>
    <row r="103" customFormat="false" ht="15" hidden="false" customHeight="false" outlineLevel="0" collapsed="false">
      <c r="A103" s="5" t="n">
        <v>100</v>
      </c>
      <c r="B103" s="5" t="s">
        <v>133</v>
      </c>
      <c r="C103" s="5" t="n">
        <v>0</v>
      </c>
      <c r="D103" s="5" t="n">
        <v>1</v>
      </c>
      <c r="E103" s="30" t="n">
        <v>0</v>
      </c>
    </row>
    <row r="104" customFormat="false" ht="15" hidden="false" customHeight="false" outlineLevel="0" collapsed="false">
      <c r="A104" s="5" t="n">
        <v>101</v>
      </c>
      <c r="B104" s="5" t="s">
        <v>259</v>
      </c>
      <c r="C104" s="5" t="n">
        <v>0</v>
      </c>
      <c r="D104" s="5" t="n">
        <v>1</v>
      </c>
      <c r="E104" s="30" t="n">
        <v>0</v>
      </c>
    </row>
    <row r="105" customFormat="false" ht="15" hidden="false" customHeight="false" outlineLevel="0" collapsed="false">
      <c r="A105" s="5" t="n">
        <v>102</v>
      </c>
      <c r="B105" s="5" t="s">
        <v>260</v>
      </c>
      <c r="C105" s="5" t="n">
        <v>0</v>
      </c>
      <c r="D105" s="5" t="n">
        <v>1</v>
      </c>
      <c r="E105" s="30" t="n">
        <v>0</v>
      </c>
    </row>
    <row r="106" customFormat="false" ht="15" hidden="false" customHeight="false" outlineLevel="0" collapsed="false">
      <c r="A106" s="5" t="n">
        <v>103</v>
      </c>
      <c r="B106" s="5" t="s">
        <v>275</v>
      </c>
      <c r="C106" s="5" t="n">
        <v>0</v>
      </c>
      <c r="D106" s="5" t="n">
        <v>1</v>
      </c>
      <c r="E106" s="30" t="n">
        <v>0</v>
      </c>
    </row>
    <row r="107" customFormat="false" ht="15" hidden="false" customHeight="false" outlineLevel="0" collapsed="false">
      <c r="A107" s="5" t="n">
        <v>104</v>
      </c>
      <c r="B107" s="5" t="s">
        <v>276</v>
      </c>
      <c r="C107" s="5" t="n">
        <v>0</v>
      </c>
      <c r="D107" s="5" t="n">
        <v>1</v>
      </c>
      <c r="E107" s="30" t="n">
        <v>0</v>
      </c>
    </row>
    <row r="108" customFormat="false" ht="15" hidden="false" customHeight="false" outlineLevel="0" collapsed="false">
      <c r="A108" s="5" t="n">
        <v>105</v>
      </c>
      <c r="B108" s="5" t="s">
        <v>257</v>
      </c>
      <c r="C108" s="5" t="n">
        <v>0</v>
      </c>
      <c r="D108" s="5" t="n">
        <v>1</v>
      </c>
      <c r="E108" s="30" t="n">
        <v>0</v>
      </c>
    </row>
    <row r="109" customFormat="false" ht="15" hidden="false" customHeight="false" outlineLevel="0" collapsed="false">
      <c r="A109" s="5" t="n">
        <v>106</v>
      </c>
      <c r="B109" s="5" t="s">
        <v>258</v>
      </c>
      <c r="C109" s="5" t="n">
        <v>0</v>
      </c>
      <c r="D109" s="5" t="n">
        <v>1</v>
      </c>
      <c r="E109" s="30" t="n">
        <v>0</v>
      </c>
    </row>
    <row r="110" customFormat="false" ht="15" hidden="false" customHeight="false" outlineLevel="0" collapsed="false">
      <c r="A110" s="5" t="n">
        <v>107</v>
      </c>
      <c r="B110" s="5" t="s">
        <v>261</v>
      </c>
      <c r="C110" s="5" t="n">
        <v>0</v>
      </c>
      <c r="D110" s="5" t="n">
        <v>1</v>
      </c>
      <c r="E110" s="30" t="n">
        <v>0</v>
      </c>
    </row>
    <row r="111" customFormat="false" ht="15" hidden="false" customHeight="false" outlineLevel="0" collapsed="false">
      <c r="A111" s="5" t="n">
        <v>108</v>
      </c>
      <c r="B111" s="5" t="s">
        <v>262</v>
      </c>
      <c r="C111" s="5" t="n">
        <v>0</v>
      </c>
      <c r="D111" s="5" t="n">
        <v>1</v>
      </c>
      <c r="E111" s="30" t="n">
        <v>0</v>
      </c>
    </row>
    <row r="112" customFormat="false" ht="15" hidden="false" customHeight="false" outlineLevel="0" collapsed="false">
      <c r="A112" s="5" t="n">
        <v>109</v>
      </c>
      <c r="B112" s="5" t="s">
        <v>267</v>
      </c>
      <c r="C112" s="5" t="n">
        <v>0</v>
      </c>
      <c r="D112" s="5" t="n">
        <v>1</v>
      </c>
      <c r="E112" s="30" t="n">
        <v>0</v>
      </c>
    </row>
    <row r="113" customFormat="false" ht="15" hidden="false" customHeight="false" outlineLevel="0" collapsed="false">
      <c r="A113" s="5" t="n">
        <v>110</v>
      </c>
      <c r="B113" s="5" t="s">
        <v>268</v>
      </c>
      <c r="C113" s="5" t="n">
        <v>0</v>
      </c>
      <c r="D113" s="5" t="n">
        <v>1</v>
      </c>
      <c r="E113" s="30" t="n">
        <v>0</v>
      </c>
    </row>
    <row r="114" customFormat="false" ht="15" hidden="false" customHeight="false" outlineLevel="0" collapsed="false">
      <c r="A114" s="5" t="n">
        <v>111</v>
      </c>
      <c r="B114" s="5" t="s">
        <v>84</v>
      </c>
      <c r="C114" s="5" t="n">
        <v>0</v>
      </c>
      <c r="D114" s="5" t="n">
        <v>1</v>
      </c>
      <c r="E114" s="30" t="n">
        <v>0</v>
      </c>
    </row>
    <row r="115" customFormat="false" ht="15" hidden="false" customHeight="false" outlineLevel="0" collapsed="false">
      <c r="A115" s="5" t="n">
        <v>112</v>
      </c>
      <c r="B115" s="5" t="s">
        <v>85</v>
      </c>
      <c r="C115" s="5" t="n">
        <v>0</v>
      </c>
      <c r="D115" s="5" t="n">
        <v>1</v>
      </c>
      <c r="E115" s="30" t="n">
        <v>0</v>
      </c>
    </row>
    <row r="116" customFormat="false" ht="15" hidden="false" customHeight="false" outlineLevel="0" collapsed="false">
      <c r="A116" s="5" t="n">
        <v>113</v>
      </c>
      <c r="B116" s="5" t="s">
        <v>239</v>
      </c>
      <c r="C116" s="5" t="n">
        <v>0</v>
      </c>
      <c r="D116" s="5" t="n">
        <v>1</v>
      </c>
      <c r="E116" s="30" t="n">
        <v>0</v>
      </c>
    </row>
    <row r="117" customFormat="false" ht="15" hidden="false" customHeight="false" outlineLevel="0" collapsed="false">
      <c r="A117" s="5" t="n">
        <v>114</v>
      </c>
      <c r="B117" s="5" t="s">
        <v>240</v>
      </c>
      <c r="C117" s="5" t="n">
        <v>0</v>
      </c>
      <c r="D117" s="5" t="n">
        <v>1</v>
      </c>
      <c r="E117" s="30" t="n">
        <v>0</v>
      </c>
    </row>
    <row r="118" customFormat="false" ht="15" hidden="false" customHeight="false" outlineLevel="0" collapsed="false">
      <c r="A118" s="5" t="n">
        <v>115</v>
      </c>
      <c r="B118" s="5" t="s">
        <v>72</v>
      </c>
      <c r="C118" s="5" t="n">
        <v>0</v>
      </c>
      <c r="D118" s="5" t="n">
        <v>1</v>
      </c>
      <c r="E118" s="30" t="n">
        <v>0</v>
      </c>
    </row>
    <row r="119" customFormat="false" ht="15" hidden="false" customHeight="false" outlineLevel="0" collapsed="false">
      <c r="A119" s="5" t="n">
        <v>116</v>
      </c>
      <c r="B119" s="5" t="s">
        <v>73</v>
      </c>
      <c r="C119" s="5" t="n">
        <v>0</v>
      </c>
      <c r="D119" s="5" t="n">
        <v>1</v>
      </c>
      <c r="E119" s="30" t="n">
        <v>0</v>
      </c>
    </row>
    <row r="120" customFormat="false" ht="15" hidden="false" customHeight="false" outlineLevel="0" collapsed="false">
      <c r="A120" s="5" t="n">
        <v>117</v>
      </c>
      <c r="B120" s="5" t="s">
        <v>307</v>
      </c>
      <c r="C120" s="5" t="n">
        <v>0</v>
      </c>
      <c r="D120" s="5" t="n">
        <v>1</v>
      </c>
      <c r="E120" s="30" t="n">
        <v>0</v>
      </c>
    </row>
    <row r="121" customFormat="false" ht="15" hidden="false" customHeight="false" outlineLevel="0" collapsed="false">
      <c r="A121" s="5" t="n">
        <v>118</v>
      </c>
      <c r="B121" s="5" t="s">
        <v>308</v>
      </c>
      <c r="C121" s="5" t="n">
        <v>0</v>
      </c>
      <c r="D121" s="5" t="n">
        <v>1</v>
      </c>
      <c r="E121" s="30" t="n">
        <v>0</v>
      </c>
    </row>
    <row r="122" customFormat="false" ht="15" hidden="false" customHeight="false" outlineLevel="0" collapsed="false">
      <c r="A122" s="5" t="n">
        <v>119</v>
      </c>
      <c r="B122" s="5" t="s">
        <v>177</v>
      </c>
      <c r="C122" s="5" t="n">
        <v>0</v>
      </c>
      <c r="D122" s="5" t="n">
        <v>1</v>
      </c>
      <c r="E122" s="30" t="n">
        <v>0</v>
      </c>
    </row>
    <row r="123" customFormat="false" ht="15" hidden="false" customHeight="false" outlineLevel="0" collapsed="false">
      <c r="A123" s="5" t="n">
        <v>120</v>
      </c>
      <c r="B123" s="5" t="s">
        <v>178</v>
      </c>
      <c r="C123" s="5" t="n">
        <v>0</v>
      </c>
      <c r="D123" s="5" t="n">
        <v>1</v>
      </c>
      <c r="E123" s="30" t="n">
        <v>0</v>
      </c>
    </row>
    <row r="124" customFormat="false" ht="15" hidden="false" customHeight="false" outlineLevel="0" collapsed="false">
      <c r="A124" s="5" t="n">
        <v>121</v>
      </c>
      <c r="B124" s="5" t="s">
        <v>174</v>
      </c>
      <c r="C124" s="5" t="n">
        <v>0</v>
      </c>
      <c r="D124" s="5" t="n">
        <v>1</v>
      </c>
      <c r="E124" s="30" t="n">
        <v>0</v>
      </c>
    </row>
    <row r="125" customFormat="false" ht="15" hidden="false" customHeight="false" outlineLevel="0" collapsed="false">
      <c r="A125" s="5" t="n">
        <v>122</v>
      </c>
      <c r="B125" s="5" t="s">
        <v>175</v>
      </c>
      <c r="C125" s="5" t="n">
        <v>0</v>
      </c>
      <c r="D125" s="5" t="n">
        <v>1</v>
      </c>
      <c r="E125" s="30" t="n">
        <v>0</v>
      </c>
    </row>
    <row r="126" customFormat="false" ht="15" hidden="false" customHeight="false" outlineLevel="0" collapsed="false">
      <c r="A126" s="5" t="n">
        <v>123</v>
      </c>
      <c r="B126" s="5" t="s">
        <v>311</v>
      </c>
      <c r="C126" s="5" t="n">
        <v>0</v>
      </c>
      <c r="D126" s="5" t="n">
        <v>1</v>
      </c>
      <c r="E126" s="30" t="n">
        <v>0</v>
      </c>
    </row>
    <row r="127" customFormat="false" ht="15" hidden="false" customHeight="false" outlineLevel="0" collapsed="false">
      <c r="A127" s="5" t="n">
        <v>124</v>
      </c>
      <c r="B127" s="5" t="s">
        <v>312</v>
      </c>
      <c r="C127" s="5" t="n">
        <v>0</v>
      </c>
      <c r="D127" s="5" t="n">
        <v>1</v>
      </c>
      <c r="E127" s="30" t="n">
        <v>0</v>
      </c>
    </row>
    <row r="128" customFormat="false" ht="15" hidden="false" customHeight="false" outlineLevel="0" collapsed="false">
      <c r="A128" s="5" t="n">
        <v>125</v>
      </c>
      <c r="B128" s="5" t="s">
        <v>316</v>
      </c>
      <c r="C128" s="5" t="n">
        <v>0</v>
      </c>
      <c r="D128" s="5" t="n">
        <v>1</v>
      </c>
      <c r="E128" s="30" t="n">
        <v>0</v>
      </c>
    </row>
    <row r="129" customFormat="false" ht="15" hidden="false" customHeight="false" outlineLevel="0" collapsed="false">
      <c r="A129" s="5" t="n">
        <v>126</v>
      </c>
      <c r="B129" s="5" t="s">
        <v>317</v>
      </c>
      <c r="C129" s="5" t="n">
        <v>0</v>
      </c>
      <c r="D129" s="5" t="n">
        <v>1</v>
      </c>
      <c r="E129" s="30" t="n">
        <v>0</v>
      </c>
    </row>
    <row r="130" customFormat="false" ht="15" hidden="false" customHeight="false" outlineLevel="0" collapsed="false">
      <c r="A130" s="5" t="n">
        <v>127</v>
      </c>
      <c r="B130" s="5" t="s">
        <v>332</v>
      </c>
      <c r="C130" s="5" t="n">
        <v>0</v>
      </c>
      <c r="D130" s="5" t="n">
        <v>1</v>
      </c>
      <c r="E130" s="30" t="n">
        <v>0</v>
      </c>
    </row>
    <row r="131" customFormat="false" ht="15" hidden="false" customHeight="false" outlineLevel="0" collapsed="false">
      <c r="A131" s="5" t="n">
        <v>128</v>
      </c>
      <c r="B131" s="5" t="s">
        <v>333</v>
      </c>
      <c r="C131" s="5" t="n">
        <v>0</v>
      </c>
      <c r="D131" s="5" t="n">
        <v>1</v>
      </c>
      <c r="E131" s="30" t="n">
        <v>0</v>
      </c>
    </row>
    <row r="132" customFormat="false" ht="15" hidden="false" customHeight="false" outlineLevel="0" collapsed="false">
      <c r="A132" s="5" t="n">
        <v>129</v>
      </c>
      <c r="B132" s="5" t="s">
        <v>190</v>
      </c>
      <c r="C132" s="5" t="n">
        <v>0</v>
      </c>
      <c r="D132" s="5" t="n">
        <v>1</v>
      </c>
      <c r="E132" s="30" t="n">
        <v>0</v>
      </c>
    </row>
    <row r="133" customFormat="false" ht="15" hidden="false" customHeight="false" outlineLevel="0" collapsed="false">
      <c r="A133" s="5" t="n">
        <v>130</v>
      </c>
      <c r="B133" s="5" t="s">
        <v>191</v>
      </c>
      <c r="C133" s="5" t="n">
        <v>0</v>
      </c>
      <c r="D133" s="5" t="n">
        <v>1</v>
      </c>
      <c r="E133" s="30" t="n">
        <v>0</v>
      </c>
    </row>
    <row r="134" customFormat="false" ht="15" hidden="false" customHeight="false" outlineLevel="0" collapsed="false">
      <c r="A134" s="5" t="n">
        <v>131</v>
      </c>
      <c r="B134" s="5" t="s">
        <v>199</v>
      </c>
      <c r="C134" s="5" t="n">
        <v>0</v>
      </c>
      <c r="D134" s="5" t="n">
        <v>1</v>
      </c>
      <c r="E134" s="30" t="n">
        <v>0</v>
      </c>
    </row>
    <row r="135" customFormat="false" ht="15" hidden="false" customHeight="false" outlineLevel="0" collapsed="false">
      <c r="A135" s="5" t="n">
        <v>132</v>
      </c>
      <c r="B135" s="5" t="s">
        <v>200</v>
      </c>
      <c r="C135" s="5" t="n">
        <v>0</v>
      </c>
      <c r="D135" s="5" t="n">
        <v>1</v>
      </c>
      <c r="E135" s="30" t="n">
        <v>0</v>
      </c>
    </row>
    <row r="136" customFormat="false" ht="15" hidden="false" customHeight="false" outlineLevel="0" collapsed="false">
      <c r="A136" s="5" t="n">
        <v>133</v>
      </c>
      <c r="B136" s="5" t="s">
        <v>207</v>
      </c>
      <c r="C136" s="5" t="n">
        <v>0</v>
      </c>
      <c r="D136" s="5" t="n">
        <v>1</v>
      </c>
      <c r="E136" s="30" t="n">
        <v>0</v>
      </c>
    </row>
    <row r="137" customFormat="false" ht="15" hidden="false" customHeight="false" outlineLevel="0" collapsed="false">
      <c r="A137" s="5" t="n">
        <v>134</v>
      </c>
      <c r="B137" s="5" t="s">
        <v>208</v>
      </c>
      <c r="C137" s="5" t="n">
        <v>0</v>
      </c>
      <c r="D137" s="5" t="n">
        <v>1</v>
      </c>
      <c r="E137" s="30" t="n">
        <v>0</v>
      </c>
    </row>
    <row r="138" customFormat="false" ht="15" hidden="false" customHeight="false" outlineLevel="0" collapsed="false">
      <c r="A138" s="5" t="n">
        <v>135</v>
      </c>
      <c r="B138" s="5" t="s">
        <v>202</v>
      </c>
      <c r="C138" s="5" t="n">
        <v>0</v>
      </c>
      <c r="D138" s="5" t="n">
        <v>1</v>
      </c>
      <c r="E138" s="30" t="n">
        <v>0</v>
      </c>
    </row>
    <row r="139" customFormat="false" ht="15" hidden="false" customHeight="false" outlineLevel="0" collapsed="false">
      <c r="A139" s="5" t="n">
        <v>136</v>
      </c>
      <c r="B139" s="5" t="s">
        <v>203</v>
      </c>
      <c r="C139" s="5" t="n">
        <v>0</v>
      </c>
      <c r="D139" s="5" t="n">
        <v>1</v>
      </c>
      <c r="E139" s="30" t="n">
        <v>0</v>
      </c>
    </row>
    <row r="140" customFormat="false" ht="15" hidden="false" customHeight="false" outlineLevel="0" collapsed="false">
      <c r="A140" s="5" t="n">
        <v>137</v>
      </c>
      <c r="B140" s="5" t="s">
        <v>293</v>
      </c>
      <c r="C140" s="5" t="n">
        <v>0</v>
      </c>
      <c r="D140" s="5" t="n">
        <v>1</v>
      </c>
      <c r="E140" s="30" t="n">
        <v>0</v>
      </c>
    </row>
    <row r="141" customFormat="false" ht="15" hidden="false" customHeight="false" outlineLevel="0" collapsed="false">
      <c r="A141" s="5" t="n">
        <v>138</v>
      </c>
      <c r="B141" s="5" t="s">
        <v>294</v>
      </c>
      <c r="C141" s="5" t="n">
        <v>0</v>
      </c>
      <c r="D141" s="5" t="n">
        <v>1</v>
      </c>
      <c r="E141" s="30" t="n">
        <v>0</v>
      </c>
    </row>
    <row r="142" customFormat="false" ht="15" hidden="false" customHeight="false" outlineLevel="0" collapsed="false">
      <c r="A142" s="5" t="n">
        <v>139</v>
      </c>
      <c r="B142" s="5" t="s">
        <v>322</v>
      </c>
      <c r="C142" s="5" t="n">
        <v>0</v>
      </c>
      <c r="D142" s="5" t="n">
        <v>1</v>
      </c>
      <c r="E142" s="30" t="n">
        <v>0</v>
      </c>
    </row>
    <row r="143" customFormat="false" ht="15" hidden="false" customHeight="false" outlineLevel="0" collapsed="false">
      <c r="A143" s="5" t="n">
        <v>140</v>
      </c>
      <c r="B143" s="5" t="s">
        <v>323</v>
      </c>
      <c r="C143" s="5" t="n">
        <v>0</v>
      </c>
      <c r="D143" s="5" t="n">
        <v>1</v>
      </c>
      <c r="E143" s="30" t="n">
        <v>0</v>
      </c>
    </row>
    <row r="144" customFormat="false" ht="15" hidden="false" customHeight="false" outlineLevel="0" collapsed="false">
      <c r="A144" s="5" t="n">
        <v>141</v>
      </c>
      <c r="B144" s="5" t="s">
        <v>324</v>
      </c>
      <c r="C144" s="5" t="n">
        <v>0</v>
      </c>
      <c r="D144" s="5" t="n">
        <v>1</v>
      </c>
      <c r="E144" s="30" t="n">
        <v>0</v>
      </c>
    </row>
    <row r="145" customFormat="false" ht="15" hidden="false" customHeight="false" outlineLevel="0" collapsed="false">
      <c r="A145" s="5" t="n">
        <v>142</v>
      </c>
      <c r="B145" s="5" t="s">
        <v>325</v>
      </c>
      <c r="C145" s="5" t="n">
        <v>0</v>
      </c>
      <c r="D145" s="5" t="n">
        <v>1</v>
      </c>
      <c r="E145" s="30" t="n">
        <v>0</v>
      </c>
    </row>
    <row r="146" customFormat="false" ht="15" hidden="false" customHeight="false" outlineLevel="0" collapsed="false">
      <c r="A146" s="5" t="n">
        <v>143</v>
      </c>
      <c r="B146" s="5" t="s">
        <v>183</v>
      </c>
      <c r="C146" s="5" t="n">
        <v>0</v>
      </c>
      <c r="D146" s="5" t="n">
        <v>1</v>
      </c>
      <c r="E146" s="30" t="n">
        <v>0</v>
      </c>
    </row>
    <row r="147" customFormat="false" ht="15" hidden="false" customHeight="false" outlineLevel="0" collapsed="false">
      <c r="A147" s="5" t="n">
        <v>144</v>
      </c>
      <c r="B147" s="5" t="s">
        <v>184</v>
      </c>
      <c r="C147" s="5" t="n">
        <v>0</v>
      </c>
      <c r="D147" s="5" t="n">
        <v>1</v>
      </c>
      <c r="E147" s="30" t="n">
        <v>0</v>
      </c>
    </row>
    <row r="148" customFormat="false" ht="15" hidden="false" customHeight="false" outlineLevel="0" collapsed="false">
      <c r="A148" s="5" t="n">
        <v>145</v>
      </c>
      <c r="B148" s="5" t="s">
        <v>326</v>
      </c>
      <c r="C148" s="5" t="n">
        <v>0</v>
      </c>
      <c r="D148" s="5" t="n">
        <v>1</v>
      </c>
      <c r="E148" s="30" t="n">
        <v>0</v>
      </c>
    </row>
    <row r="149" customFormat="false" ht="15" hidden="false" customHeight="false" outlineLevel="0" collapsed="false">
      <c r="A149" s="5" t="n">
        <v>146</v>
      </c>
      <c r="B149" s="5" t="s">
        <v>327</v>
      </c>
      <c r="C149" s="5" t="n">
        <v>0</v>
      </c>
      <c r="D149" s="5" t="n">
        <v>1</v>
      </c>
      <c r="E149" s="30" t="n"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7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542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543</v>
      </c>
      <c r="B3" s="3"/>
      <c r="C3" s="3"/>
      <c r="D3" s="3"/>
    </row>
    <row r="4" customFormat="false" ht="15" hidden="false" customHeight="false" outlineLevel="0" collapsed="false">
      <c r="A4" s="4" t="s">
        <v>544</v>
      </c>
      <c r="B4" s="4" t="s">
        <v>11</v>
      </c>
      <c r="C4" s="4" t="s">
        <v>15</v>
      </c>
      <c r="D4" s="4" t="s">
        <v>545</v>
      </c>
    </row>
    <row r="5" customFormat="false" ht="15" hidden="false" customHeight="false" outlineLevel="0" collapsed="false">
      <c r="A5" s="0" t="s">
        <v>546</v>
      </c>
      <c r="B5" s="0" t="s">
        <v>547</v>
      </c>
      <c r="C5" s="0" t="s">
        <v>548</v>
      </c>
      <c r="D5" s="0" t="s">
        <v>15</v>
      </c>
    </row>
    <row r="6" customFormat="false" ht="15" hidden="false" customHeight="false" outlineLevel="0" collapsed="false">
      <c r="A6" s="0" t="s">
        <v>549</v>
      </c>
      <c r="B6" s="0" t="s">
        <v>550</v>
      </c>
      <c r="C6" s="0" t="s">
        <v>551</v>
      </c>
      <c r="D6" s="0" t="s">
        <v>552</v>
      </c>
    </row>
    <row r="7" customFormat="false" ht="15" hidden="false" customHeight="false" outlineLevel="0" collapsed="false">
      <c r="A7" s="0" t="s">
        <v>553</v>
      </c>
      <c r="B7" s="0" t="n">
        <v>3.11</v>
      </c>
      <c r="C7" s="0" t="n">
        <v>2.87</v>
      </c>
      <c r="D7" s="0" t="s">
        <v>554</v>
      </c>
    </row>
    <row r="9" customFormat="false" ht="15" hidden="false" customHeight="false" outlineLevel="0" collapsed="false">
      <c r="A9" s="9" t="s">
        <v>555</v>
      </c>
    </row>
    <row r="10" customFormat="false" ht="26.85" hidden="false" customHeight="false" outlineLevel="0" collapsed="false">
      <c r="A10" s="4" t="s">
        <v>556</v>
      </c>
      <c r="B10" s="4" t="s">
        <v>557</v>
      </c>
      <c r="C10" s="4" t="s">
        <v>558</v>
      </c>
      <c r="D10" s="4" t="s">
        <v>559</v>
      </c>
    </row>
    <row r="11" customFormat="false" ht="15" hidden="false" customHeight="false" outlineLevel="0" collapsed="false">
      <c r="A11" s="0" t="s">
        <v>560</v>
      </c>
      <c r="B11" s="0" t="s">
        <v>561</v>
      </c>
      <c r="C11" s="0" t="n">
        <v>16</v>
      </c>
      <c r="D11" s="0" t="s">
        <v>562</v>
      </c>
    </row>
    <row r="12" customFormat="false" ht="15" hidden="false" customHeight="false" outlineLevel="0" collapsed="false">
      <c r="A12" s="0" t="s">
        <v>563</v>
      </c>
      <c r="B12" s="0" t="s">
        <v>564</v>
      </c>
      <c r="C12" s="0" t="n">
        <v>24</v>
      </c>
      <c r="D12" s="0" t="s">
        <v>565</v>
      </c>
    </row>
  </sheetData>
  <mergeCells count="2">
    <mergeCell ref="A1:G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2026-04-29T01:59:33Z</dcterms:created>
  <dc:creator>openpyxl</dc:creator>
  <dc:description/>
  <dc:language>en-US</dc:language>
  <cp:lastModifiedBy/>
  <dcterms:modified xsi:type="dcterms:W3CDTF">2026-04-29T01:59:34Z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